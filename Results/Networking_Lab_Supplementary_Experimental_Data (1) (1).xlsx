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4"/>
    <sheet state="visible" name="Experimental_Protocol" sheetId="2" r:id="rId5"/>
    <sheet state="visible" name="Scenario_Config" sheetId="3" r:id="rId6"/>
    <sheet state="visible" name="Raw_Run_Data" sheetId="4" r:id="rId7"/>
    <sheet state="visible" name="Reported_Aggregates" sheetId="5" r:id="rId8"/>
    <sheet state="visible" name="Calculated_Summary" sheetId="6" r:id="rId9"/>
    <sheet state="visible" name="QC_Check" sheetId="7" r:id="rId10"/>
    <sheet state="visible" name="Charts" sheetId="8" r:id="rId11"/>
  </sheets>
  <definedNames/>
  <calcPr/>
</workbook>
</file>

<file path=xl/sharedStrings.xml><?xml version="1.0" encoding="utf-8"?>
<sst xmlns="http://schemas.openxmlformats.org/spreadsheetml/2006/main" count="1097" uniqueCount="181">
  <si>
    <t>Supplementary Experimental Data Workbook</t>
  </si>
  <si>
    <t>Manuscript</t>
  </si>
  <si>
    <t>A User-Space Virtualization Lab for Postgraduate Networking Education and Research in WMN, MANET, and WSN</t>
  </si>
  <si>
    <t>Purpose</t>
  </si>
  <si>
    <t>Structured supplementary-data workbook corresponding to the 30-run experimental protocol and aggregate results reported in the revised manuscript.</t>
  </si>
  <si>
    <t>Important provenance note</t>
  </si>
  <si>
    <t>The Raw_Run_Data sheet is an ILLUSTRATIVE/RECONSTRUCTED dataset generated from the published mean and sample-SD values in the manuscript. It is NOT the original laboratory raw data and must NOT be represented as measured raw data.</t>
  </si>
  <si>
    <t>Recommended use</t>
  </si>
  <si>
    <t>Use the workbook structure as a template for the actual per-run CSV/log export. Replace the illustrative values with the original measurements before public deposition or submission.</t>
  </si>
  <si>
    <t>Experimental repetitions</t>
  </si>
  <si>
    <t>30 independent runs per traffic condition</t>
  </si>
  <si>
    <t>Measurement duration</t>
  </si>
  <si>
    <t>300 s per run; first 30 s excluded as warm-up</t>
  </si>
  <si>
    <t>Packet payload</t>
  </si>
  <si>
    <t>512 bytes UDP</t>
  </si>
  <si>
    <t>Statistics</t>
  </si>
  <si>
    <t>Mean ± sample standard deviation (n = 30)</t>
  </si>
  <si>
    <t>Primary metrics</t>
  </si>
  <si>
    <t>End-to-end delay, jitter, PDR, application throughput, CPU load</t>
  </si>
  <si>
    <t>Parameter</t>
  </si>
  <si>
    <t>Value</t>
  </si>
  <si>
    <t>Source/Role</t>
  </si>
  <si>
    <t>Physical topology</t>
  </si>
  <si>
    <t>Fixed five-node Raspberry Pi ad hoc network</t>
  </si>
  <si>
    <t>Experimental protocol</t>
  </si>
  <si>
    <t>Routing protocol</t>
  </si>
  <si>
    <t>User-space OLSR</t>
  </si>
  <si>
    <t>Independent repetitions</t>
  </si>
  <si>
    <t>30 runs per traffic condition</t>
  </si>
  <si>
    <t>Statistical basis</t>
  </si>
  <si>
    <t>Duration per run</t>
  </si>
  <si>
    <t>300 s (5 min)</t>
  </si>
  <si>
    <t>Measurement protocol</t>
  </si>
  <si>
    <t>Warm-up excluded</t>
  </si>
  <si>
    <t>First 30 s</t>
  </si>
  <si>
    <t>Avoid startup transients</t>
  </si>
  <si>
    <t>UDP payload</t>
  </si>
  <si>
    <t>512 bytes</t>
  </si>
  <si>
    <t>Experimental configuration</t>
  </si>
  <si>
    <t>Delay</t>
  </si>
  <si>
    <t>End-to-end application latency</t>
  </si>
  <si>
    <t>Performance metric</t>
  </si>
  <si>
    <t>Jitter</t>
  </si>
  <si>
    <t>RFC 3550 definition</t>
  </si>
  <si>
    <t>PDR</t>
  </si>
  <si>
    <t>Successfully received / transmitted packets</t>
  </si>
  <si>
    <t>Throughput</t>
  </si>
  <si>
    <t>Average application throughput</t>
  </si>
  <si>
    <t>CPU load</t>
  </si>
  <si>
    <t>Average CPU utilization during each run</t>
  </si>
  <si>
    <t>Resource metric</t>
  </si>
  <si>
    <t>Statistical reporting</t>
  </si>
  <si>
    <t>Mean ± sample standard deviation (n=30)</t>
  </si>
  <si>
    <t>Table 8</t>
  </si>
  <si>
    <t>Scenario</t>
  </si>
  <si>
    <t>Node</t>
  </si>
  <si>
    <t>Role</t>
  </si>
  <si>
    <t>Message Type</t>
  </si>
  <si>
    <t>Source → Destination</t>
  </si>
  <si>
    <t>Interval / Trigger</t>
  </si>
  <si>
    <t>Substation Automation</t>
  </si>
  <si>
    <t>Node 1</t>
  </si>
  <si>
    <t>SCADA Master</t>
  </si>
  <si>
    <t>Control Commands</t>
  </si>
  <si>
    <t>1 → 2</t>
  </si>
  <si>
    <t>On demand</t>
  </si>
  <si>
    <t>Node 2</t>
  </si>
  <si>
    <t>Bay Controller</t>
  </si>
  <si>
    <t>Trip / Protection</t>
  </si>
  <si>
    <t>2 → 3,4</t>
  </si>
  <si>
    <t>Every 20 ms</t>
  </si>
  <si>
    <t>Node 3</t>
  </si>
  <si>
    <t>IED #1</t>
  </si>
  <si>
    <t>Measurement Reports</t>
  </si>
  <si>
    <t>3 → 1</t>
  </si>
  <si>
    <t>Every 50 ms</t>
  </si>
  <si>
    <t>Node 4</t>
  </si>
  <si>
    <t>IED #2</t>
  </si>
  <si>
    <t>Status / Alarm</t>
  </si>
  <si>
    <t>4 → 1</t>
  </si>
  <si>
    <t>Event-driven</t>
  </si>
  <si>
    <t>Node 5</t>
  </si>
  <si>
    <t>RTU Sensor</t>
  </si>
  <si>
    <t>Temp. / Humidity</t>
  </si>
  <si>
    <t>5 → 1</t>
  </si>
  <si>
    <t>Every 1 s</t>
  </si>
  <si>
    <t>Smart Factory</t>
  </si>
  <si>
    <t>Edge Controller</t>
  </si>
  <si>
    <t>1 → 2,3</t>
  </si>
  <si>
    <t>Machine Ctrl. #1</t>
  </si>
  <si>
    <t>Status Feedback</t>
  </si>
  <si>
    <t>2 → 1</t>
  </si>
  <si>
    <t>Machine Ctrl. #2</t>
  </si>
  <si>
    <t>Conveyor Events</t>
  </si>
  <si>
    <t>Sensor Gateway</t>
  </si>
  <si>
    <t>Temp. / Vibration</t>
  </si>
  <si>
    <t>4 → 1,5</t>
  </si>
  <si>
    <t>Every 100 ms</t>
  </si>
  <si>
    <t>Maintenance Station</t>
  </si>
  <si>
    <t>Diagnostic Logs</t>
  </si>
  <si>
    <t>Every 10 s</t>
  </si>
  <si>
    <t>Medical IoT</t>
  </si>
  <si>
    <t>Monitoring Station</t>
  </si>
  <si>
    <t>Feedback Commands</t>
  </si>
  <si>
    <t>1 → 2–5</t>
  </si>
  <si>
    <t>Patient Node #1</t>
  </si>
  <si>
    <t>ECG / Heart Rate</t>
  </si>
  <si>
    <t>2 → 1,4</t>
  </si>
  <si>
    <t>Patient Node #2</t>
  </si>
  <si>
    <t>SpO₂ / Temp.</t>
  </si>
  <si>
    <t>3 → 4</t>
  </si>
  <si>
    <t>Medical Gateway</t>
  </si>
  <si>
    <t>Aggregated Data</t>
  </si>
  <si>
    <t>Adaptive</t>
  </si>
  <si>
    <t>Ambulance Unit</t>
  </si>
  <si>
    <t>Alerts + GPS</t>
  </si>
  <si>
    <t>5 → 1,4</t>
  </si>
  <si>
    <t>Smart Vehicles</t>
  </si>
  <si>
    <t>RSU</t>
  </si>
  <si>
    <t>Coordination Messages</t>
  </si>
  <si>
    <t>Continuous</t>
  </si>
  <si>
    <t>Vehicle #1</t>
  </si>
  <si>
    <t>CAM (Speed/Brake)</t>
  </si>
  <si>
    <t>2 → 1,3,4</t>
  </si>
  <si>
    <t>Every 10 ms</t>
  </si>
  <si>
    <t>Vehicle #2</t>
  </si>
  <si>
    <t>DENM Alerts</t>
  </si>
  <si>
    <t>3 → 1,2,4,5</t>
  </si>
  <si>
    <t>Vehicle #3</t>
  </si>
  <si>
    <t>CAM (Lane Pos.)</t>
  </si>
  <si>
    <t>4 → 1,2,3</t>
  </si>
  <si>
    <t>Emergency Vehicle</t>
  </si>
  <si>
    <t>Priority Request</t>
  </si>
  <si>
    <t>Traffic Type</t>
  </si>
  <si>
    <t>Run</t>
  </si>
  <si>
    <t>Measurement Duration (s)</t>
  </si>
  <si>
    <t>Warm-up Excluded (s)</t>
  </si>
  <si>
    <t>Packet Size (bytes)</t>
  </si>
  <si>
    <t>Delay (ms)</t>
  </si>
  <si>
    <t>Jitter (ms)</t>
  </si>
  <si>
    <t>PDR (%)</t>
  </si>
  <si>
    <t>Throughput (kbps)</t>
  </si>
  <si>
    <t>CPU Load (%)</t>
  </si>
  <si>
    <t>Real-Time Control</t>
  </si>
  <si>
    <t>Supervisory Data</t>
  </si>
  <si>
    <t>Control Traffic</t>
  </si>
  <si>
    <t>Sensor Data</t>
  </si>
  <si>
    <t>Maintenance Upload</t>
  </si>
  <si>
    <t>ECG Stream</t>
  </si>
  <si>
    <t>Vital Signs</t>
  </si>
  <si>
    <t>Link Disruption</t>
  </si>
  <si>
    <t>CAM</t>
  </si>
  <si>
    <t>DENM</t>
  </si>
  <si>
    <t>Topology Change</t>
  </si>
  <si>
    <t>Delay Mean (ms)</t>
  </si>
  <si>
    <t>Delay SD (ms)</t>
  </si>
  <si>
    <t>Jitter Mean (ms)</t>
  </si>
  <si>
    <t>Jitter SD (ms)</t>
  </si>
  <si>
    <t>PDR Mean (%)</t>
  </si>
  <si>
    <t>PDR SD (%)</t>
  </si>
  <si>
    <t>Throughput Mean (kbps)</t>
  </si>
  <si>
    <t>Throughput SD (kbps)</t>
  </si>
  <si>
    <t>CPU Mean (%)</t>
  </si>
  <si>
    <t>CPU SD (%)</t>
  </si>
  <si>
    <t>Delay Mean</t>
  </si>
  <si>
    <t>Delay SD</t>
  </si>
  <si>
    <t>Jitter Mean</t>
  </si>
  <si>
    <t>Jitter SD</t>
  </si>
  <si>
    <t>PDR Mean</t>
  </si>
  <si>
    <t>PDR SD</t>
  </si>
  <si>
    <t>Throughput Mean</t>
  </si>
  <si>
    <t>Throughput SD</t>
  </si>
  <si>
    <t>CPU Mean</t>
  </si>
  <si>
    <t>CPU SD</t>
  </si>
  <si>
    <t>Metric</t>
  </si>
  <si>
    <t>Target Mean</t>
  </si>
  <si>
    <t>Target SD</t>
  </si>
  <si>
    <t>Calculated Mean</t>
  </si>
  <si>
    <t>Calculated SD</t>
  </si>
  <si>
    <t>Status</t>
  </si>
  <si>
    <t>Reported Mean Delay by Traffic Condition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</si>
</sst>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8">
    <font>
      <sz val="11.0"/>
      <color rgb="FF000000"/>
      <name val="Arial"/>
      <scheme val="minor"/>
    </font>
    <font>
      <b/>
      <sz val="14.0"/>
      <color rgb="FFFFFFFF"/>
    </font>
    <font/>
    <font>
      <sz val="11.0"/>
      <name val="Calibri"/>
    </font>
    <font>
      <b/>
    </font>
    <font>
      <b/>
      <color rgb="FFFFFFFF"/>
    </font>
    <font>
      <b/>
      <color rgb="FFC00000"/>
    </font>
    <font>
      <b/>
      <sz val="14.0"/>
    </font>
  </fonts>
  <fills count="5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9EAF7"/>
        <bgColor rgb="FFD9EAF7"/>
      </patternFill>
    </fill>
    <fill>
      <patternFill patternType="solid">
        <fgColor rgb="FFC00000"/>
        <bgColor rgb="FFC00000"/>
      </patternFill>
    </fill>
  </fills>
  <borders count="5">
    <border/>
    <border>
      <left/>
      <top/>
      <bottom/>
    </border>
    <border>
      <top/>
      <bottom/>
    </border>
    <border>
      <bottom style="thin">
        <color rgb="FFB7B7B7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2" fillId="0" fontId="2" numFmtId="0" xfId="0" applyBorder="1" applyFont="1"/>
    <xf borderId="0" fillId="0" fontId="3" numFmtId="0" xfId="0" applyAlignment="1" applyFont="1">
      <alignment shrinkToFit="0" vertical="top" wrapText="1"/>
    </xf>
    <xf borderId="3" fillId="3" fontId="4" numFmtId="0" xfId="0" applyAlignment="1" applyBorder="1" applyFill="1" applyFont="1">
      <alignment shrinkToFit="0" vertical="top" wrapText="1"/>
    </xf>
    <xf borderId="4" fillId="2" fontId="5" numFmtId="0" xfId="0" applyAlignment="1" applyBorder="1" applyFont="1">
      <alignment shrinkToFit="0" vertical="top" wrapText="1"/>
    </xf>
    <xf borderId="4" fillId="4" fontId="5" numFmtId="0" xfId="0" applyBorder="1" applyFill="1" applyFont="1"/>
    <xf borderId="0" fillId="0" fontId="3" numFmtId="164" xfId="0" applyAlignment="1" applyFont="1" applyNumberFormat="1">
      <alignment shrinkToFit="0" vertical="top" wrapText="1"/>
    </xf>
    <xf borderId="0" fillId="0" fontId="6" numFmtId="0" xfId="0" applyFont="1"/>
    <xf borderId="0" fillId="0" fontId="3" numFmtId="0" xfId="0" applyAlignment="1" applyFont="1">
      <alignment shrinkToFit="0" wrapText="1"/>
    </xf>
    <xf borderId="0" fillId="0" fontId="7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Mean End-to-End Delay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Reported_Aggregates!$C$1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Reported_Aggregates!$B$2:$B$12</c:f>
            </c:strRef>
          </c:cat>
          <c:val>
            <c:numRef>
              <c:f>Reported_Aggregates!$C$2:$C$12</c:f>
              <c:numCache/>
            </c:numRef>
          </c:val>
          <c:smooth val="0"/>
        </c:ser>
        <c:axId val="1183655961"/>
        <c:axId val="1210768955"/>
      </c:lineChart>
      <c:catAx>
        <c:axId val="11836559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Traffic Condition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210768955"/>
      </c:catAx>
      <c:valAx>
        <c:axId val="12107689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Delay (ms)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183655961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5753100" cy="287655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7.0"/>
    <col customWidth="1" min="2" max="2" width="110.0"/>
    <col customWidth="1" min="3" max="6" width="8.71"/>
  </cols>
  <sheetData>
    <row r="1">
      <c r="A1" s="1" t="s">
        <v>0</v>
      </c>
      <c r="B1" s="2"/>
      <c r="C1" s="2"/>
      <c r="D1" s="2"/>
      <c r="E1" s="2"/>
      <c r="F1" s="2"/>
    </row>
    <row r="2">
      <c r="A2" s="3"/>
      <c r="B2" s="3"/>
      <c r="C2" s="3"/>
      <c r="D2" s="3"/>
      <c r="E2" s="3"/>
      <c r="F2" s="3"/>
    </row>
    <row r="3">
      <c r="A3" s="4" t="s">
        <v>1</v>
      </c>
      <c r="B3" s="3" t="s">
        <v>2</v>
      </c>
      <c r="C3" s="3"/>
      <c r="D3" s="3"/>
      <c r="E3" s="3"/>
      <c r="F3" s="3"/>
    </row>
    <row r="4">
      <c r="A4" s="4" t="s">
        <v>3</v>
      </c>
      <c r="B4" s="3" t="s">
        <v>4</v>
      </c>
      <c r="C4" s="3"/>
      <c r="D4" s="3"/>
      <c r="E4" s="3"/>
      <c r="F4" s="3"/>
    </row>
    <row r="5">
      <c r="A5" s="4" t="s">
        <v>5</v>
      </c>
      <c r="B5" s="3" t="s">
        <v>6</v>
      </c>
      <c r="C5" s="3"/>
      <c r="D5" s="3"/>
      <c r="E5" s="3"/>
      <c r="F5" s="3"/>
    </row>
    <row r="6">
      <c r="A6" s="4" t="s">
        <v>7</v>
      </c>
      <c r="B6" s="3" t="s">
        <v>8</v>
      </c>
      <c r="C6" s="3"/>
      <c r="D6" s="3"/>
      <c r="E6" s="3"/>
      <c r="F6" s="3"/>
    </row>
    <row r="7">
      <c r="A7" s="4" t="s">
        <v>9</v>
      </c>
      <c r="B7" s="3" t="s">
        <v>10</v>
      </c>
      <c r="C7" s="3"/>
      <c r="D7" s="3"/>
      <c r="E7" s="3"/>
      <c r="F7" s="3"/>
    </row>
    <row r="8">
      <c r="A8" s="4" t="s">
        <v>11</v>
      </c>
      <c r="B8" s="3" t="s">
        <v>12</v>
      </c>
      <c r="C8" s="3"/>
      <c r="D8" s="3"/>
      <c r="E8" s="3"/>
      <c r="F8" s="3"/>
    </row>
    <row r="9">
      <c r="A9" s="4" t="s">
        <v>13</v>
      </c>
      <c r="B9" s="3" t="s">
        <v>14</v>
      </c>
      <c r="C9" s="3"/>
      <c r="D9" s="3"/>
      <c r="E9" s="3"/>
      <c r="F9" s="3"/>
    </row>
    <row r="10">
      <c r="A10" s="4" t="s">
        <v>15</v>
      </c>
      <c r="B10" s="3" t="s">
        <v>16</v>
      </c>
      <c r="C10" s="3"/>
      <c r="D10" s="3"/>
      <c r="E10" s="3"/>
      <c r="F10" s="3"/>
    </row>
    <row r="11">
      <c r="A11" s="4" t="s">
        <v>17</v>
      </c>
      <c r="B11" s="3" t="s">
        <v>18</v>
      </c>
      <c r="C11" s="3"/>
      <c r="D11" s="3"/>
      <c r="E11" s="3"/>
      <c r="F11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8.0"/>
    <col customWidth="1" min="2" max="3" width="55.0"/>
    <col customWidth="1" min="4" max="6" width="8.71"/>
  </cols>
  <sheetData>
    <row r="1">
      <c r="A1" s="5" t="s">
        <v>19</v>
      </c>
      <c r="B1" s="5" t="s">
        <v>20</v>
      </c>
      <c r="C1" s="5" t="s">
        <v>21</v>
      </c>
    </row>
    <row r="2">
      <c r="A2" s="3" t="s">
        <v>22</v>
      </c>
      <c r="B2" s="3" t="s">
        <v>23</v>
      </c>
      <c r="C2" s="3" t="s">
        <v>24</v>
      </c>
    </row>
    <row r="3">
      <c r="A3" s="3" t="s">
        <v>25</v>
      </c>
      <c r="B3" s="3" t="s">
        <v>26</v>
      </c>
      <c r="C3" s="3" t="s">
        <v>24</v>
      </c>
    </row>
    <row r="4">
      <c r="A4" s="3" t="s">
        <v>27</v>
      </c>
      <c r="B4" s="3" t="s">
        <v>28</v>
      </c>
      <c r="C4" s="3" t="s">
        <v>29</v>
      </c>
    </row>
    <row r="5">
      <c r="A5" s="3" t="s">
        <v>30</v>
      </c>
      <c r="B5" s="3" t="s">
        <v>31</v>
      </c>
      <c r="C5" s="3" t="s">
        <v>32</v>
      </c>
    </row>
    <row r="6">
      <c r="A6" s="3" t="s">
        <v>33</v>
      </c>
      <c r="B6" s="3" t="s">
        <v>34</v>
      </c>
      <c r="C6" s="3" t="s">
        <v>35</v>
      </c>
    </row>
    <row r="7">
      <c r="A7" s="3" t="s">
        <v>36</v>
      </c>
      <c r="B7" s="3" t="s">
        <v>37</v>
      </c>
      <c r="C7" s="3" t="s">
        <v>38</v>
      </c>
    </row>
    <row r="8">
      <c r="A8" s="3" t="s">
        <v>39</v>
      </c>
      <c r="B8" s="3" t="s">
        <v>40</v>
      </c>
      <c r="C8" s="3" t="s">
        <v>41</v>
      </c>
    </row>
    <row r="9">
      <c r="A9" s="3" t="s">
        <v>42</v>
      </c>
      <c r="B9" s="3" t="s">
        <v>43</v>
      </c>
      <c r="C9" s="3" t="s">
        <v>41</v>
      </c>
    </row>
    <row r="10">
      <c r="A10" s="3" t="s">
        <v>44</v>
      </c>
      <c r="B10" s="3" t="s">
        <v>45</v>
      </c>
      <c r="C10" s="3" t="s">
        <v>41</v>
      </c>
    </row>
    <row r="11">
      <c r="A11" s="3" t="s">
        <v>46</v>
      </c>
      <c r="B11" s="3" t="s">
        <v>47</v>
      </c>
      <c r="C11" s="3" t="s">
        <v>41</v>
      </c>
    </row>
    <row r="12">
      <c r="A12" s="3" t="s">
        <v>48</v>
      </c>
      <c r="B12" s="3" t="s">
        <v>49</v>
      </c>
      <c r="C12" s="3" t="s">
        <v>50</v>
      </c>
    </row>
    <row r="13">
      <c r="A13" s="3" t="s">
        <v>51</v>
      </c>
      <c r="B13" s="3" t="s">
        <v>52</v>
      </c>
      <c r="C13" s="3" t="s">
        <v>53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0"/>
    <col customWidth="1" min="2" max="2" width="12.0"/>
    <col customWidth="1" min="3" max="3" width="24.0"/>
    <col customWidth="1" min="4" max="4" width="27.0"/>
    <col customWidth="1" min="5" max="5" width="24.0"/>
    <col customWidth="1" min="6" max="6" width="22.0"/>
  </cols>
  <sheetData>
    <row r="1">
      <c r="A1" s="5" t="s">
        <v>54</v>
      </c>
      <c r="B1" s="5" t="s">
        <v>55</v>
      </c>
      <c r="C1" s="5" t="s">
        <v>56</v>
      </c>
      <c r="D1" s="5" t="s">
        <v>57</v>
      </c>
      <c r="E1" s="5" t="s">
        <v>58</v>
      </c>
      <c r="F1" s="5" t="s">
        <v>59</v>
      </c>
    </row>
    <row r="2">
      <c r="A2" s="3" t="s">
        <v>60</v>
      </c>
      <c r="B2" s="3" t="s">
        <v>61</v>
      </c>
      <c r="C2" s="3" t="s">
        <v>62</v>
      </c>
      <c r="D2" s="3" t="s">
        <v>63</v>
      </c>
      <c r="E2" s="3" t="s">
        <v>64</v>
      </c>
      <c r="F2" s="3" t="s">
        <v>65</v>
      </c>
    </row>
    <row r="3">
      <c r="A3" s="3" t="s">
        <v>60</v>
      </c>
      <c r="B3" s="3" t="s">
        <v>66</v>
      </c>
      <c r="C3" s="3" t="s">
        <v>67</v>
      </c>
      <c r="D3" s="3" t="s">
        <v>68</v>
      </c>
      <c r="E3" s="3" t="s">
        <v>69</v>
      </c>
      <c r="F3" s="3" t="s">
        <v>70</v>
      </c>
    </row>
    <row r="4">
      <c r="A4" s="3" t="s">
        <v>60</v>
      </c>
      <c r="B4" s="3" t="s">
        <v>71</v>
      </c>
      <c r="C4" s="3" t="s">
        <v>72</v>
      </c>
      <c r="D4" s="3" t="s">
        <v>73</v>
      </c>
      <c r="E4" s="3" t="s">
        <v>74</v>
      </c>
      <c r="F4" s="3" t="s">
        <v>75</v>
      </c>
    </row>
    <row r="5">
      <c r="A5" s="3" t="s">
        <v>60</v>
      </c>
      <c r="B5" s="3" t="s">
        <v>76</v>
      </c>
      <c r="C5" s="3" t="s">
        <v>77</v>
      </c>
      <c r="D5" s="3" t="s">
        <v>78</v>
      </c>
      <c r="E5" s="3" t="s">
        <v>79</v>
      </c>
      <c r="F5" s="3" t="s">
        <v>80</v>
      </c>
    </row>
    <row r="6">
      <c r="A6" s="3" t="s">
        <v>60</v>
      </c>
      <c r="B6" s="3" t="s">
        <v>81</v>
      </c>
      <c r="C6" s="3" t="s">
        <v>82</v>
      </c>
      <c r="D6" s="3" t="s">
        <v>83</v>
      </c>
      <c r="E6" s="3" t="s">
        <v>84</v>
      </c>
      <c r="F6" s="3" t="s">
        <v>85</v>
      </c>
    </row>
    <row r="7">
      <c r="A7" s="3" t="s">
        <v>86</v>
      </c>
      <c r="B7" s="3" t="s">
        <v>61</v>
      </c>
      <c r="C7" s="3" t="s">
        <v>87</v>
      </c>
      <c r="D7" s="3" t="s">
        <v>63</v>
      </c>
      <c r="E7" s="3" t="s">
        <v>88</v>
      </c>
      <c r="F7" s="3" t="s">
        <v>75</v>
      </c>
    </row>
    <row r="8">
      <c r="A8" s="3" t="s">
        <v>86</v>
      </c>
      <c r="B8" s="3" t="s">
        <v>66</v>
      </c>
      <c r="C8" s="3" t="s">
        <v>89</v>
      </c>
      <c r="D8" s="3" t="s">
        <v>90</v>
      </c>
      <c r="E8" s="3" t="s">
        <v>91</v>
      </c>
      <c r="F8" s="3" t="s">
        <v>75</v>
      </c>
    </row>
    <row r="9">
      <c r="A9" s="3" t="s">
        <v>86</v>
      </c>
      <c r="B9" s="3" t="s">
        <v>71</v>
      </c>
      <c r="C9" s="3" t="s">
        <v>92</v>
      </c>
      <c r="D9" s="3" t="s">
        <v>93</v>
      </c>
      <c r="E9" s="3" t="s">
        <v>74</v>
      </c>
      <c r="F9" s="3" t="s">
        <v>80</v>
      </c>
    </row>
    <row r="10">
      <c r="A10" s="3" t="s">
        <v>86</v>
      </c>
      <c r="B10" s="3" t="s">
        <v>76</v>
      </c>
      <c r="C10" s="3" t="s">
        <v>94</v>
      </c>
      <c r="D10" s="3" t="s">
        <v>95</v>
      </c>
      <c r="E10" s="3" t="s">
        <v>96</v>
      </c>
      <c r="F10" s="3" t="s">
        <v>97</v>
      </c>
    </row>
    <row r="11">
      <c r="A11" s="3" t="s">
        <v>86</v>
      </c>
      <c r="B11" s="3" t="s">
        <v>81</v>
      </c>
      <c r="C11" s="3" t="s">
        <v>98</v>
      </c>
      <c r="D11" s="3" t="s">
        <v>99</v>
      </c>
      <c r="E11" s="3" t="s">
        <v>84</v>
      </c>
      <c r="F11" s="3" t="s">
        <v>100</v>
      </c>
    </row>
    <row r="12">
      <c r="A12" s="3" t="s">
        <v>101</v>
      </c>
      <c r="B12" s="3" t="s">
        <v>61</v>
      </c>
      <c r="C12" s="3" t="s">
        <v>102</v>
      </c>
      <c r="D12" s="3" t="s">
        <v>103</v>
      </c>
      <c r="E12" s="3" t="s">
        <v>104</v>
      </c>
      <c r="F12" s="3" t="s">
        <v>65</v>
      </c>
    </row>
    <row r="13">
      <c r="A13" s="3" t="s">
        <v>101</v>
      </c>
      <c r="B13" s="3" t="s">
        <v>66</v>
      </c>
      <c r="C13" s="3" t="s">
        <v>105</v>
      </c>
      <c r="D13" s="3" t="s">
        <v>106</v>
      </c>
      <c r="E13" s="3" t="s">
        <v>107</v>
      </c>
      <c r="F13" s="3" t="s">
        <v>70</v>
      </c>
    </row>
    <row r="14">
      <c r="A14" s="3" t="s">
        <v>101</v>
      </c>
      <c r="B14" s="3" t="s">
        <v>71</v>
      </c>
      <c r="C14" s="3" t="s">
        <v>108</v>
      </c>
      <c r="D14" s="3" t="s">
        <v>109</v>
      </c>
      <c r="E14" s="3" t="s">
        <v>110</v>
      </c>
      <c r="F14" s="3" t="s">
        <v>97</v>
      </c>
    </row>
    <row r="15">
      <c r="A15" s="3" t="s">
        <v>101</v>
      </c>
      <c r="B15" s="3" t="s">
        <v>76</v>
      </c>
      <c r="C15" s="3" t="s">
        <v>111</v>
      </c>
      <c r="D15" s="3" t="s">
        <v>112</v>
      </c>
      <c r="E15" s="3" t="s">
        <v>79</v>
      </c>
      <c r="F15" s="3" t="s">
        <v>113</v>
      </c>
    </row>
    <row r="16">
      <c r="A16" s="3" t="s">
        <v>101</v>
      </c>
      <c r="B16" s="3" t="s">
        <v>81</v>
      </c>
      <c r="C16" s="3" t="s">
        <v>114</v>
      </c>
      <c r="D16" s="3" t="s">
        <v>115</v>
      </c>
      <c r="E16" s="3" t="s">
        <v>116</v>
      </c>
      <c r="F16" s="3" t="s">
        <v>80</v>
      </c>
    </row>
    <row r="17">
      <c r="A17" s="3" t="s">
        <v>117</v>
      </c>
      <c r="B17" s="3" t="s">
        <v>61</v>
      </c>
      <c r="C17" s="3" t="s">
        <v>118</v>
      </c>
      <c r="D17" s="3" t="s">
        <v>119</v>
      </c>
      <c r="E17" s="3" t="s">
        <v>104</v>
      </c>
      <c r="F17" s="3" t="s">
        <v>120</v>
      </c>
    </row>
    <row r="18">
      <c r="A18" s="3" t="s">
        <v>117</v>
      </c>
      <c r="B18" s="3" t="s">
        <v>66</v>
      </c>
      <c r="C18" s="3" t="s">
        <v>121</v>
      </c>
      <c r="D18" s="3" t="s">
        <v>122</v>
      </c>
      <c r="E18" s="3" t="s">
        <v>123</v>
      </c>
      <c r="F18" s="3" t="s">
        <v>124</v>
      </c>
    </row>
    <row r="19">
      <c r="A19" s="3" t="s">
        <v>117</v>
      </c>
      <c r="B19" s="3" t="s">
        <v>71</v>
      </c>
      <c r="C19" s="3" t="s">
        <v>125</v>
      </c>
      <c r="D19" s="3" t="s">
        <v>126</v>
      </c>
      <c r="E19" s="3" t="s">
        <v>127</v>
      </c>
      <c r="F19" s="3" t="s">
        <v>80</v>
      </c>
    </row>
    <row r="20">
      <c r="A20" s="3" t="s">
        <v>117</v>
      </c>
      <c r="B20" s="3" t="s">
        <v>76</v>
      </c>
      <c r="C20" s="3" t="s">
        <v>128</v>
      </c>
      <c r="D20" s="3" t="s">
        <v>129</v>
      </c>
      <c r="E20" s="3" t="s">
        <v>130</v>
      </c>
      <c r="F20" s="3" t="s">
        <v>75</v>
      </c>
    </row>
    <row r="21" ht="15.75" customHeight="1">
      <c r="A21" s="3" t="s">
        <v>117</v>
      </c>
      <c r="B21" s="3" t="s">
        <v>81</v>
      </c>
      <c r="C21" s="3" t="s">
        <v>131</v>
      </c>
      <c r="D21" s="3" t="s">
        <v>132</v>
      </c>
      <c r="E21" s="3" t="s">
        <v>84</v>
      </c>
      <c r="F21" s="3" t="s">
        <v>65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0"/>
    <col customWidth="1" min="2" max="2" width="25.0"/>
    <col customWidth="1" min="3" max="3" width="8.0"/>
    <col customWidth="1" min="4" max="4" width="25.0"/>
    <col customWidth="1" min="5" max="5" width="22.0"/>
    <col customWidth="1" min="6" max="6" width="20.0"/>
    <col customWidth="1" min="7" max="7" width="16.0"/>
    <col customWidth="1" min="8" max="8" width="15.0"/>
    <col customWidth="1" min="9" max="9" width="13.0"/>
    <col customWidth="1" min="10" max="10" width="20.0"/>
    <col customWidth="1" min="11" max="11" width="15.0"/>
    <col customWidth="1" min="12" max="12" width="8.71"/>
    <col customWidth="1" min="13" max="13" width="62.0"/>
  </cols>
  <sheetData>
    <row r="1">
      <c r="A1" s="5" t="s">
        <v>54</v>
      </c>
      <c r="B1" s="5" t="s">
        <v>133</v>
      </c>
      <c r="C1" s="5" t="s">
        <v>134</v>
      </c>
      <c r="D1" s="5" t="s">
        <v>135</v>
      </c>
      <c r="E1" s="5" t="s">
        <v>136</v>
      </c>
      <c r="F1" s="5" t="s">
        <v>137</v>
      </c>
      <c r="G1" s="5" t="s">
        <v>138</v>
      </c>
      <c r="H1" s="5" t="s">
        <v>139</v>
      </c>
      <c r="I1" s="5" t="s">
        <v>140</v>
      </c>
      <c r="J1" s="5" t="s">
        <v>141</v>
      </c>
      <c r="K1" s="5" t="s">
        <v>142</v>
      </c>
      <c r="M1" s="6"/>
    </row>
    <row r="2">
      <c r="A2" s="3" t="s">
        <v>60</v>
      </c>
      <c r="B2" s="3" t="s">
        <v>143</v>
      </c>
      <c r="C2" s="3">
        <v>1.0</v>
      </c>
      <c r="D2" s="3">
        <v>300.0</v>
      </c>
      <c r="E2" s="3">
        <v>30.0</v>
      </c>
      <c r="F2" s="3">
        <v>512.0</v>
      </c>
      <c r="G2" s="7">
        <v>16.03416909842285</v>
      </c>
      <c r="H2" s="7">
        <v>2.966905456692243</v>
      </c>
      <c r="I2" s="7">
        <v>97.10035818503837</v>
      </c>
      <c r="J2" s="7">
        <v>253.5053727755755</v>
      </c>
      <c r="K2" s="7">
        <v>19.61744273424979</v>
      </c>
      <c r="M2" s="8"/>
    </row>
    <row r="3">
      <c r="A3" s="3" t="s">
        <v>60</v>
      </c>
      <c r="B3" s="3" t="s">
        <v>143</v>
      </c>
      <c r="C3" s="3">
        <v>2.0</v>
      </c>
      <c r="D3" s="3">
        <v>300.0</v>
      </c>
      <c r="E3" s="3">
        <v>30.0</v>
      </c>
      <c r="F3" s="3">
        <v>512.0</v>
      </c>
      <c r="G3" s="7">
        <v>16.39219201492199</v>
      </c>
      <c r="H3" s="7">
        <v>3.069197718549139</v>
      </c>
      <c r="I3" s="7">
        <v>97.2537965778237</v>
      </c>
      <c r="J3" s="7">
        <v>255.8069486673556</v>
      </c>
      <c r="K3" s="7">
        <v>19.9498925852847</v>
      </c>
      <c r="M3" s="9"/>
    </row>
    <row r="4">
      <c r="A4" s="3" t="s">
        <v>60</v>
      </c>
      <c r="B4" s="3" t="s">
        <v>143</v>
      </c>
      <c r="C4" s="3">
        <v>3.0</v>
      </c>
      <c r="D4" s="3">
        <v>300.0</v>
      </c>
      <c r="E4" s="3">
        <v>30.0</v>
      </c>
      <c r="F4" s="3">
        <v>512.0</v>
      </c>
      <c r="G4" s="7">
        <v>16.64579158077554</v>
      </c>
      <c r="H4" s="7">
        <v>3.141654737364441</v>
      </c>
      <c r="I4" s="7">
        <v>97.36248210604667</v>
      </c>
      <c r="J4" s="7">
        <v>257.4372315906999</v>
      </c>
      <c r="K4" s="7">
        <v>20.18537789643443</v>
      </c>
    </row>
    <row r="5">
      <c r="A5" s="3" t="s">
        <v>60</v>
      </c>
      <c r="B5" s="3" t="s">
        <v>143</v>
      </c>
      <c r="C5" s="3">
        <v>4.0</v>
      </c>
      <c r="D5" s="3">
        <v>300.0</v>
      </c>
      <c r="E5" s="3">
        <v>30.0</v>
      </c>
      <c r="F5" s="3">
        <v>512.0</v>
      </c>
      <c r="G5" s="7">
        <v>16.85463828206671</v>
      </c>
      <c r="H5" s="7">
        <v>3.20132522344763</v>
      </c>
      <c r="I5" s="7">
        <v>97.45198783517145</v>
      </c>
      <c r="J5" s="7">
        <v>258.7798175275717</v>
      </c>
      <c r="K5" s="7">
        <v>20.3793069762048</v>
      </c>
    </row>
    <row r="6">
      <c r="A6" s="3" t="s">
        <v>60</v>
      </c>
      <c r="B6" s="3" t="s">
        <v>143</v>
      </c>
      <c r="C6" s="3">
        <v>5.0</v>
      </c>
      <c r="D6" s="3">
        <v>300.0</v>
      </c>
      <c r="E6" s="3">
        <v>30.0</v>
      </c>
      <c r="F6" s="3">
        <v>512.0</v>
      </c>
      <c r="G6" s="7">
        <v>17.03364974031627</v>
      </c>
      <c r="H6" s="7">
        <v>3.252471354376079</v>
      </c>
      <c r="I6" s="7">
        <v>97.52870703156412</v>
      </c>
      <c r="J6" s="7">
        <v>259.9306054734618</v>
      </c>
      <c r="K6" s="7">
        <v>20.54553190172225</v>
      </c>
    </row>
    <row r="7">
      <c r="A7" s="3" t="s">
        <v>60</v>
      </c>
      <c r="B7" s="3" t="s">
        <v>143</v>
      </c>
      <c r="C7" s="3">
        <v>6.0</v>
      </c>
      <c r="D7" s="3">
        <v>300.0</v>
      </c>
      <c r="E7" s="3">
        <v>30.0</v>
      </c>
      <c r="F7" s="3">
        <v>512.0</v>
      </c>
      <c r="G7" s="7">
        <v>17.19774357704505</v>
      </c>
      <c r="H7" s="7">
        <v>3.299355307727156</v>
      </c>
      <c r="I7" s="7">
        <v>97.59903296159074</v>
      </c>
      <c r="J7" s="7">
        <v>260.985494423861</v>
      </c>
      <c r="K7" s="7">
        <v>20.69790475011326</v>
      </c>
    </row>
    <row r="8">
      <c r="A8" s="3" t="s">
        <v>60</v>
      </c>
      <c r="B8" s="3" t="s">
        <v>143</v>
      </c>
      <c r="C8" s="3">
        <v>7.0</v>
      </c>
      <c r="D8" s="3">
        <v>300.0</v>
      </c>
      <c r="E8" s="3">
        <v>30.0</v>
      </c>
      <c r="F8" s="3">
        <v>512.0</v>
      </c>
      <c r="G8" s="7">
        <v>17.34691979225302</v>
      </c>
      <c r="H8" s="7">
        <v>3.341977083500863</v>
      </c>
      <c r="I8" s="7">
        <v>97.6629656252513</v>
      </c>
      <c r="J8" s="7">
        <v>261.9444843787694</v>
      </c>
      <c r="K8" s="7">
        <v>20.83642552137781</v>
      </c>
    </row>
    <row r="9">
      <c r="A9" s="3" t="s">
        <v>60</v>
      </c>
      <c r="B9" s="3" t="s">
        <v>143</v>
      </c>
      <c r="C9" s="3">
        <v>8.0</v>
      </c>
      <c r="D9" s="3">
        <v>300.0</v>
      </c>
      <c r="E9" s="3">
        <v>30.0</v>
      </c>
      <c r="F9" s="3">
        <v>512.0</v>
      </c>
      <c r="G9" s="7">
        <v>17.4811783859402</v>
      </c>
      <c r="H9" s="7">
        <v>3.380336681697199</v>
      </c>
      <c r="I9" s="7">
        <v>97.72050502254581</v>
      </c>
      <c r="J9" s="7">
        <v>262.807575338187</v>
      </c>
      <c r="K9" s="7">
        <v>20.9610942155159</v>
      </c>
    </row>
    <row r="10">
      <c r="A10" s="3" t="s">
        <v>60</v>
      </c>
      <c r="B10" s="3" t="s">
        <v>143</v>
      </c>
      <c r="C10" s="3">
        <v>9.0</v>
      </c>
      <c r="D10" s="3">
        <v>300.0</v>
      </c>
      <c r="E10" s="3">
        <v>30.0</v>
      </c>
      <c r="F10" s="3">
        <v>512.0</v>
      </c>
      <c r="G10" s="7">
        <v>17.61543697962738</v>
      </c>
      <c r="H10" s="7">
        <v>3.418696279893535</v>
      </c>
      <c r="I10" s="7">
        <v>97.7780444198403</v>
      </c>
      <c r="J10" s="7">
        <v>263.6706662976046</v>
      </c>
      <c r="K10" s="7">
        <v>21.08576290965399</v>
      </c>
    </row>
    <row r="11">
      <c r="A11" s="3" t="s">
        <v>60</v>
      </c>
      <c r="B11" s="3" t="s">
        <v>143</v>
      </c>
      <c r="C11" s="3">
        <v>10.0</v>
      </c>
      <c r="D11" s="3">
        <v>300.0</v>
      </c>
      <c r="E11" s="3">
        <v>30.0</v>
      </c>
      <c r="F11" s="3">
        <v>512.0</v>
      </c>
      <c r="G11" s="7">
        <v>17.74969557331455</v>
      </c>
      <c r="H11" s="7">
        <v>3.457055878089871</v>
      </c>
      <c r="I11" s="7">
        <v>97.8355838171348</v>
      </c>
      <c r="J11" s="7">
        <v>264.5337572570221</v>
      </c>
      <c r="K11" s="7">
        <v>21.21043160379208</v>
      </c>
    </row>
    <row r="12">
      <c r="A12" s="3" t="s">
        <v>60</v>
      </c>
      <c r="B12" s="3" t="s">
        <v>143</v>
      </c>
      <c r="C12" s="3">
        <v>11.0</v>
      </c>
      <c r="D12" s="3">
        <v>300.0</v>
      </c>
      <c r="E12" s="3">
        <v>30.0</v>
      </c>
      <c r="F12" s="3">
        <v>512.0</v>
      </c>
      <c r="G12" s="7">
        <v>17.88395416700173</v>
      </c>
      <c r="H12" s="7">
        <v>3.495415476286207</v>
      </c>
      <c r="I12" s="7">
        <v>97.89312321442931</v>
      </c>
      <c r="J12" s="7">
        <v>265.3968482164397</v>
      </c>
      <c r="K12" s="7">
        <v>21.33510029793018</v>
      </c>
    </row>
    <row r="13">
      <c r="A13" s="3" t="s">
        <v>60</v>
      </c>
      <c r="B13" s="3" t="s">
        <v>143</v>
      </c>
      <c r="C13" s="3">
        <v>12.0</v>
      </c>
      <c r="D13" s="3">
        <v>300.0</v>
      </c>
      <c r="E13" s="3">
        <v>30.0</v>
      </c>
      <c r="F13" s="3">
        <v>512.0</v>
      </c>
      <c r="G13" s="7">
        <v>18.0182127606889</v>
      </c>
      <c r="H13" s="7">
        <v>3.533775074482544</v>
      </c>
      <c r="I13" s="7">
        <v>97.95066261172381</v>
      </c>
      <c r="J13" s="7">
        <v>266.2599391758572</v>
      </c>
      <c r="K13" s="7">
        <v>21.45976899206827</v>
      </c>
    </row>
    <row r="14">
      <c r="A14" s="3" t="s">
        <v>60</v>
      </c>
      <c r="B14" s="3" t="s">
        <v>143</v>
      </c>
      <c r="C14" s="3">
        <v>13.0</v>
      </c>
      <c r="D14" s="3">
        <v>300.0</v>
      </c>
      <c r="E14" s="3">
        <v>30.0</v>
      </c>
      <c r="F14" s="3">
        <v>512.0</v>
      </c>
      <c r="G14" s="7">
        <v>18.15247135437608</v>
      </c>
      <c r="H14" s="7">
        <v>3.57213467267888</v>
      </c>
      <c r="I14" s="7">
        <v>98.00820200901832</v>
      </c>
      <c r="J14" s="7">
        <v>267.1230301352748</v>
      </c>
      <c r="K14" s="7">
        <v>21.58443768620636</v>
      </c>
    </row>
    <row r="15">
      <c r="A15" s="3" t="s">
        <v>60</v>
      </c>
      <c r="B15" s="3" t="s">
        <v>143</v>
      </c>
      <c r="C15" s="3">
        <v>14.0</v>
      </c>
      <c r="D15" s="3">
        <v>300.0</v>
      </c>
      <c r="E15" s="3">
        <v>30.0</v>
      </c>
      <c r="F15" s="3">
        <v>512.0</v>
      </c>
      <c r="G15" s="7">
        <v>18.30164756958406</v>
      </c>
      <c r="H15" s="7">
        <v>3.614756448452586</v>
      </c>
      <c r="I15" s="7">
        <v>98.07213467267889</v>
      </c>
      <c r="J15" s="7">
        <v>268.0820200901832</v>
      </c>
      <c r="K15" s="7">
        <v>21.72295845747091</v>
      </c>
    </row>
    <row r="16">
      <c r="A16" s="3" t="s">
        <v>60</v>
      </c>
      <c r="B16" s="3" t="s">
        <v>143</v>
      </c>
      <c r="C16" s="3">
        <v>15.0</v>
      </c>
      <c r="D16" s="3">
        <v>300.0</v>
      </c>
      <c r="E16" s="3">
        <v>30.0</v>
      </c>
      <c r="F16" s="3">
        <v>512.0</v>
      </c>
      <c r="G16" s="7">
        <v>18.45082378479203</v>
      </c>
      <c r="H16" s="7">
        <v>3.657378224226294</v>
      </c>
      <c r="I16" s="7">
        <v>98.13606733633944</v>
      </c>
      <c r="J16" s="7">
        <v>269.0410100450916</v>
      </c>
      <c r="K16" s="7">
        <v>21.86147922873545</v>
      </c>
    </row>
    <row r="17">
      <c r="A17" s="3" t="s">
        <v>60</v>
      </c>
      <c r="B17" s="3" t="s">
        <v>143</v>
      </c>
      <c r="C17" s="3">
        <v>16.0</v>
      </c>
      <c r="D17" s="3">
        <v>300.0</v>
      </c>
      <c r="E17" s="3">
        <v>30.0</v>
      </c>
      <c r="F17" s="3">
        <v>512.0</v>
      </c>
      <c r="G17" s="7">
        <v>18.74917621520797</v>
      </c>
      <c r="H17" s="7">
        <v>3.742621775773707</v>
      </c>
      <c r="I17" s="7">
        <v>98.26393266366057</v>
      </c>
      <c r="J17" s="7">
        <v>270.9589899549084</v>
      </c>
      <c r="K17" s="7">
        <v>22.13852077126455</v>
      </c>
    </row>
    <row r="18">
      <c r="A18" s="3" t="s">
        <v>60</v>
      </c>
      <c r="B18" s="3" t="s">
        <v>143</v>
      </c>
      <c r="C18" s="3">
        <v>17.0</v>
      </c>
      <c r="D18" s="3">
        <v>300.0</v>
      </c>
      <c r="E18" s="3">
        <v>30.0</v>
      </c>
      <c r="F18" s="3">
        <v>512.0</v>
      </c>
      <c r="G18" s="7">
        <v>18.89835243041595</v>
      </c>
      <c r="H18" s="7">
        <v>3.785243551547414</v>
      </c>
      <c r="I18" s="7">
        <v>98.32786532732112</v>
      </c>
      <c r="J18" s="7">
        <v>271.9179799098168</v>
      </c>
      <c r="K18" s="7">
        <v>22.27704154252909</v>
      </c>
    </row>
    <row r="19">
      <c r="A19" s="3" t="s">
        <v>60</v>
      </c>
      <c r="B19" s="3" t="s">
        <v>143</v>
      </c>
      <c r="C19" s="3">
        <v>18.0</v>
      </c>
      <c r="D19" s="3">
        <v>300.0</v>
      </c>
      <c r="E19" s="3">
        <v>30.0</v>
      </c>
      <c r="F19" s="3">
        <v>512.0</v>
      </c>
      <c r="G19" s="7">
        <v>19.04752864562392</v>
      </c>
      <c r="H19" s="7">
        <v>3.827865327321121</v>
      </c>
      <c r="I19" s="7">
        <v>98.39179799098169</v>
      </c>
      <c r="J19" s="7">
        <v>272.8769698647252</v>
      </c>
      <c r="K19" s="7">
        <v>22.41556231379364</v>
      </c>
    </row>
    <row r="20">
      <c r="A20" s="3" t="s">
        <v>60</v>
      </c>
      <c r="B20" s="3" t="s">
        <v>143</v>
      </c>
      <c r="C20" s="3">
        <v>19.0</v>
      </c>
      <c r="D20" s="3">
        <v>300.0</v>
      </c>
      <c r="E20" s="3">
        <v>30.0</v>
      </c>
      <c r="F20" s="3">
        <v>512.0</v>
      </c>
      <c r="G20" s="7">
        <v>19.1817872393111</v>
      </c>
      <c r="H20" s="7">
        <v>3.866224925517457</v>
      </c>
      <c r="I20" s="7">
        <v>98.44933738827619</v>
      </c>
      <c r="J20" s="7">
        <v>273.7400608241428</v>
      </c>
      <c r="K20" s="7">
        <v>22.54023100793173</v>
      </c>
    </row>
    <row r="21" ht="15.75" customHeight="1">
      <c r="A21" s="3" t="s">
        <v>60</v>
      </c>
      <c r="B21" s="3" t="s">
        <v>143</v>
      </c>
      <c r="C21" s="3">
        <v>20.0</v>
      </c>
      <c r="D21" s="3">
        <v>300.0</v>
      </c>
      <c r="E21" s="3">
        <v>30.0</v>
      </c>
      <c r="F21" s="3">
        <v>512.0</v>
      </c>
      <c r="G21" s="7">
        <v>19.31604583299828</v>
      </c>
      <c r="H21" s="7">
        <v>3.904584523713793</v>
      </c>
      <c r="I21" s="7">
        <v>98.5068767855707</v>
      </c>
      <c r="J21" s="7">
        <v>274.6031517835603</v>
      </c>
      <c r="K21" s="7">
        <v>22.66489970206982</v>
      </c>
    </row>
    <row r="22" ht="15.75" customHeight="1">
      <c r="A22" s="3" t="s">
        <v>60</v>
      </c>
      <c r="B22" s="3" t="s">
        <v>143</v>
      </c>
      <c r="C22" s="3">
        <v>21.0</v>
      </c>
      <c r="D22" s="3">
        <v>300.0</v>
      </c>
      <c r="E22" s="3">
        <v>30.0</v>
      </c>
      <c r="F22" s="3">
        <v>512.0</v>
      </c>
      <c r="G22" s="7">
        <v>19.45030442668545</v>
      </c>
      <c r="H22" s="7">
        <v>3.942944121910129</v>
      </c>
      <c r="I22" s="7">
        <v>98.5644161828652</v>
      </c>
      <c r="J22" s="7">
        <v>275.4662427429779</v>
      </c>
      <c r="K22" s="7">
        <v>22.78956839620792</v>
      </c>
    </row>
    <row r="23" ht="15.75" customHeight="1">
      <c r="A23" s="3" t="s">
        <v>60</v>
      </c>
      <c r="B23" s="3" t="s">
        <v>143</v>
      </c>
      <c r="C23" s="3">
        <v>22.0</v>
      </c>
      <c r="D23" s="3">
        <v>300.0</v>
      </c>
      <c r="E23" s="3">
        <v>30.0</v>
      </c>
      <c r="F23" s="3">
        <v>512.0</v>
      </c>
      <c r="G23" s="7">
        <v>19.58456302037263</v>
      </c>
      <c r="H23" s="7">
        <v>3.981303720106465</v>
      </c>
      <c r="I23" s="7">
        <v>98.6219555801597</v>
      </c>
      <c r="J23" s="7">
        <v>276.3293337023954</v>
      </c>
      <c r="K23" s="7">
        <v>22.91423709034601</v>
      </c>
    </row>
    <row r="24" ht="15.75" customHeight="1">
      <c r="A24" s="3" t="s">
        <v>60</v>
      </c>
      <c r="B24" s="3" t="s">
        <v>143</v>
      </c>
      <c r="C24" s="3">
        <v>23.0</v>
      </c>
      <c r="D24" s="3">
        <v>300.0</v>
      </c>
      <c r="E24" s="3">
        <v>30.0</v>
      </c>
      <c r="F24" s="3">
        <v>512.0</v>
      </c>
      <c r="G24" s="7">
        <v>19.71882161405981</v>
      </c>
      <c r="H24" s="7">
        <v>4.019663318302801</v>
      </c>
      <c r="I24" s="7">
        <v>98.6794949774542</v>
      </c>
      <c r="J24" s="7">
        <v>277.192424661813</v>
      </c>
      <c r="K24" s="7">
        <v>23.0389057844841</v>
      </c>
    </row>
    <row r="25" ht="15.75" customHeight="1">
      <c r="A25" s="3" t="s">
        <v>60</v>
      </c>
      <c r="B25" s="3" t="s">
        <v>143</v>
      </c>
      <c r="C25" s="3">
        <v>24.0</v>
      </c>
      <c r="D25" s="3">
        <v>300.0</v>
      </c>
      <c r="E25" s="3">
        <v>30.0</v>
      </c>
      <c r="F25" s="3">
        <v>512.0</v>
      </c>
      <c r="G25" s="7">
        <v>19.85308020774698</v>
      </c>
      <c r="H25" s="7">
        <v>4.058022916499137</v>
      </c>
      <c r="I25" s="7">
        <v>98.7370343747487</v>
      </c>
      <c r="J25" s="7">
        <v>278.0555156212306</v>
      </c>
      <c r="K25" s="7">
        <v>23.16357447862219</v>
      </c>
    </row>
    <row r="26" ht="15.75" customHeight="1">
      <c r="A26" s="3" t="s">
        <v>60</v>
      </c>
      <c r="B26" s="3" t="s">
        <v>143</v>
      </c>
      <c r="C26" s="3">
        <v>25.0</v>
      </c>
      <c r="D26" s="3">
        <v>300.0</v>
      </c>
      <c r="E26" s="3">
        <v>30.0</v>
      </c>
      <c r="F26" s="3">
        <v>512.0</v>
      </c>
      <c r="G26" s="7">
        <v>20.00225642295496</v>
      </c>
      <c r="H26" s="7">
        <v>4.100644692272844</v>
      </c>
      <c r="I26" s="7">
        <v>98.80096703840927</v>
      </c>
      <c r="J26" s="7">
        <v>279.014505576139</v>
      </c>
      <c r="K26" s="7">
        <v>23.30209524988674</v>
      </c>
    </row>
    <row r="27" ht="15.75" customHeight="1">
      <c r="A27" s="3" t="s">
        <v>60</v>
      </c>
      <c r="B27" s="3" t="s">
        <v>143</v>
      </c>
      <c r="C27" s="3">
        <v>26.0</v>
      </c>
      <c r="D27" s="3">
        <v>300.0</v>
      </c>
      <c r="E27" s="3">
        <v>30.0</v>
      </c>
      <c r="F27" s="3">
        <v>512.0</v>
      </c>
      <c r="G27" s="7">
        <v>20.16635025968373</v>
      </c>
      <c r="H27" s="7">
        <v>4.147528645623922</v>
      </c>
      <c r="I27" s="7">
        <v>98.87129296843588</v>
      </c>
      <c r="J27" s="7">
        <v>280.0693945265382</v>
      </c>
      <c r="K27" s="7">
        <v>23.45446809827775</v>
      </c>
    </row>
    <row r="28" ht="15.75" customHeight="1">
      <c r="A28" s="3" t="s">
        <v>60</v>
      </c>
      <c r="B28" s="3" t="s">
        <v>143</v>
      </c>
      <c r="C28" s="3">
        <v>27.0</v>
      </c>
      <c r="D28" s="3">
        <v>300.0</v>
      </c>
      <c r="E28" s="3">
        <v>30.0</v>
      </c>
      <c r="F28" s="3">
        <v>512.0</v>
      </c>
      <c r="G28" s="7">
        <v>20.3453617179333</v>
      </c>
      <c r="H28" s="7">
        <v>4.19867477655237</v>
      </c>
      <c r="I28" s="7">
        <v>98.94801216482855</v>
      </c>
      <c r="J28" s="7">
        <v>281.2201824724283</v>
      </c>
      <c r="K28" s="7">
        <v>23.6206930237952</v>
      </c>
    </row>
    <row r="29" ht="15.75" customHeight="1">
      <c r="A29" s="3" t="s">
        <v>60</v>
      </c>
      <c r="B29" s="3" t="s">
        <v>143</v>
      </c>
      <c r="C29" s="3">
        <v>28.0</v>
      </c>
      <c r="D29" s="3">
        <v>300.0</v>
      </c>
      <c r="E29" s="3">
        <v>30.0</v>
      </c>
      <c r="F29" s="3">
        <v>512.0</v>
      </c>
      <c r="G29" s="7">
        <v>20.55420841922446</v>
      </c>
      <c r="H29" s="7">
        <v>4.25834526263556</v>
      </c>
      <c r="I29" s="7">
        <v>99.03751789395334</v>
      </c>
      <c r="J29" s="7">
        <v>282.5627684093001</v>
      </c>
      <c r="K29" s="7">
        <v>23.81462210356557</v>
      </c>
    </row>
    <row r="30" ht="15.75" customHeight="1">
      <c r="A30" s="3" t="s">
        <v>60</v>
      </c>
      <c r="B30" s="3" t="s">
        <v>143</v>
      </c>
      <c r="C30" s="3">
        <v>29.0</v>
      </c>
      <c r="D30" s="3">
        <v>300.0</v>
      </c>
      <c r="E30" s="3">
        <v>30.0</v>
      </c>
      <c r="F30" s="3">
        <v>512.0</v>
      </c>
      <c r="G30" s="7">
        <v>20.80780798507801</v>
      </c>
      <c r="H30" s="7">
        <v>4.330802281450861</v>
      </c>
      <c r="I30" s="7">
        <v>99.1462034221763</v>
      </c>
      <c r="J30" s="7">
        <v>284.1930513326444</v>
      </c>
      <c r="K30" s="7">
        <v>24.0501074147153</v>
      </c>
    </row>
    <row r="31" ht="15.75" customHeight="1">
      <c r="A31" s="3" t="s">
        <v>60</v>
      </c>
      <c r="B31" s="3" t="s">
        <v>143</v>
      </c>
      <c r="C31" s="3">
        <v>30.0</v>
      </c>
      <c r="D31" s="3">
        <v>300.0</v>
      </c>
      <c r="E31" s="3">
        <v>30.0</v>
      </c>
      <c r="F31" s="3">
        <v>512.0</v>
      </c>
      <c r="G31" s="7">
        <v>21.16583090157715</v>
      </c>
      <c r="H31" s="7">
        <v>4.433094543307758</v>
      </c>
      <c r="I31" s="7">
        <v>99.29964181496163</v>
      </c>
      <c r="J31" s="7">
        <v>286.4946272244246</v>
      </c>
      <c r="K31" s="7">
        <v>24.38255726575021</v>
      </c>
    </row>
    <row r="32" ht="15.75" customHeight="1">
      <c r="A32" s="3" t="s">
        <v>60</v>
      </c>
      <c r="B32" s="3" t="s">
        <v>144</v>
      </c>
      <c r="C32" s="3">
        <v>1.0</v>
      </c>
      <c r="D32" s="3">
        <v>300.0</v>
      </c>
      <c r="E32" s="3">
        <v>30.0</v>
      </c>
      <c r="F32" s="3">
        <v>512.0</v>
      </c>
      <c r="G32" s="7">
        <v>37.58470637598039</v>
      </c>
      <c r="H32" s="7">
        <v>4.100358185038364</v>
      </c>
      <c r="I32" s="7">
        <v>98.85017909251918</v>
      </c>
      <c r="J32" s="7">
        <v>358.0071637007673</v>
      </c>
      <c r="K32" s="7">
        <v>17.98399000590367</v>
      </c>
    </row>
    <row r="33" ht="15.75" customHeight="1">
      <c r="A33" s="3" t="s">
        <v>60</v>
      </c>
      <c r="B33" s="3" t="s">
        <v>144</v>
      </c>
      <c r="C33" s="3">
        <v>2.0</v>
      </c>
      <c r="D33" s="3">
        <v>300.0</v>
      </c>
      <c r="E33" s="3">
        <v>30.0</v>
      </c>
      <c r="F33" s="3">
        <v>512.0</v>
      </c>
      <c r="G33" s="7">
        <v>38.17288688165755</v>
      </c>
      <c r="H33" s="7">
        <v>4.253796577823708</v>
      </c>
      <c r="I33" s="7">
        <v>98.92689828891186</v>
      </c>
      <c r="J33" s="7">
        <v>361.0759315564742</v>
      </c>
      <c r="K33" s="7">
        <v>18.26529372601013</v>
      </c>
    </row>
    <row r="34" ht="15.75" customHeight="1">
      <c r="A34" s="3" t="s">
        <v>60</v>
      </c>
      <c r="B34" s="3" t="s">
        <v>144</v>
      </c>
      <c r="C34" s="3">
        <v>3.0</v>
      </c>
      <c r="D34" s="3">
        <v>300.0</v>
      </c>
      <c r="E34" s="3">
        <v>30.0</v>
      </c>
      <c r="F34" s="3">
        <v>512.0</v>
      </c>
      <c r="G34" s="7">
        <v>38.58951473984553</v>
      </c>
      <c r="H34" s="7">
        <v>4.362482106046661</v>
      </c>
      <c r="I34" s="7">
        <v>98.98124105302334</v>
      </c>
      <c r="J34" s="7">
        <v>363.2496421209332</v>
      </c>
      <c r="K34" s="7">
        <v>18.46455052775221</v>
      </c>
    </row>
    <row r="35" ht="15.75" customHeight="1">
      <c r="A35" s="3" t="s">
        <v>60</v>
      </c>
      <c r="B35" s="3" t="s">
        <v>144</v>
      </c>
      <c r="C35" s="3">
        <v>4.0</v>
      </c>
      <c r="D35" s="3">
        <v>300.0</v>
      </c>
      <c r="E35" s="3">
        <v>30.0</v>
      </c>
      <c r="F35" s="3">
        <v>512.0</v>
      </c>
      <c r="G35" s="7">
        <v>38.93262003482387</v>
      </c>
      <c r="H35" s="7">
        <v>4.451987835171446</v>
      </c>
      <c r="I35" s="7">
        <v>99.02599391758572</v>
      </c>
      <c r="J35" s="7">
        <v>365.0397567034289</v>
      </c>
      <c r="K35" s="7">
        <v>18.62864436448098</v>
      </c>
    </row>
    <row r="36" ht="15.75" customHeight="1">
      <c r="A36" s="3" t="s">
        <v>60</v>
      </c>
      <c r="B36" s="3" t="s">
        <v>144</v>
      </c>
      <c r="C36" s="3">
        <v>5.0</v>
      </c>
      <c r="D36" s="3">
        <v>300.0</v>
      </c>
      <c r="E36" s="3">
        <v>30.0</v>
      </c>
      <c r="F36" s="3">
        <v>512.0</v>
      </c>
      <c r="G36" s="7">
        <v>39.22671028766245</v>
      </c>
      <c r="H36" s="7">
        <v>4.528707031564117</v>
      </c>
      <c r="I36" s="7">
        <v>99.06435351578206</v>
      </c>
      <c r="J36" s="7">
        <v>366.5741406312824</v>
      </c>
      <c r="K36" s="7">
        <v>18.76929622453422</v>
      </c>
    </row>
    <row r="37" ht="15.75" customHeight="1">
      <c r="A37" s="3" t="s">
        <v>60</v>
      </c>
      <c r="B37" s="3" t="s">
        <v>144</v>
      </c>
      <c r="C37" s="3">
        <v>6.0</v>
      </c>
      <c r="D37" s="3">
        <v>300.0</v>
      </c>
      <c r="E37" s="3">
        <v>30.0</v>
      </c>
      <c r="F37" s="3">
        <v>512.0</v>
      </c>
      <c r="G37" s="7">
        <v>39.49629301943114</v>
      </c>
      <c r="H37" s="7">
        <v>4.599032961590733</v>
      </c>
      <c r="I37" s="7">
        <v>99.09951648079537</v>
      </c>
      <c r="J37" s="7">
        <v>367.9806592318147</v>
      </c>
      <c r="K37" s="7">
        <v>18.89822709624968</v>
      </c>
    </row>
    <row r="38" ht="15.75" customHeight="1">
      <c r="A38" s="3" t="s">
        <v>60</v>
      </c>
      <c r="B38" s="3" t="s">
        <v>144</v>
      </c>
      <c r="C38" s="3">
        <v>7.0</v>
      </c>
      <c r="D38" s="3">
        <v>300.0</v>
      </c>
      <c r="E38" s="3">
        <v>30.0</v>
      </c>
      <c r="F38" s="3">
        <v>512.0</v>
      </c>
      <c r="G38" s="7">
        <v>39.74136823012996</v>
      </c>
      <c r="H38" s="7">
        <v>4.662965625251294</v>
      </c>
      <c r="I38" s="7">
        <v>99.13148281262565</v>
      </c>
      <c r="J38" s="7">
        <v>369.2593125050259</v>
      </c>
      <c r="K38" s="7">
        <v>19.01543697962737</v>
      </c>
    </row>
    <row r="39" ht="15.75" customHeight="1">
      <c r="A39" s="3" t="s">
        <v>60</v>
      </c>
      <c r="B39" s="3" t="s">
        <v>144</v>
      </c>
      <c r="C39" s="3">
        <v>8.0</v>
      </c>
      <c r="D39" s="3">
        <v>300.0</v>
      </c>
      <c r="E39" s="3">
        <v>30.0</v>
      </c>
      <c r="F39" s="3">
        <v>512.0</v>
      </c>
      <c r="G39" s="7">
        <v>39.96193591975889</v>
      </c>
      <c r="H39" s="7">
        <v>4.720505022545798</v>
      </c>
      <c r="I39" s="7">
        <v>99.1602525112729</v>
      </c>
      <c r="J39" s="7">
        <v>370.410100450916</v>
      </c>
      <c r="K39" s="7">
        <v>19.1209258746673</v>
      </c>
    </row>
    <row r="40" ht="15.75" customHeight="1">
      <c r="A40" s="3" t="s">
        <v>60</v>
      </c>
      <c r="B40" s="3" t="s">
        <v>144</v>
      </c>
      <c r="C40" s="3">
        <v>9.0</v>
      </c>
      <c r="D40" s="3">
        <v>300.0</v>
      </c>
      <c r="E40" s="3">
        <v>30.0</v>
      </c>
      <c r="F40" s="3">
        <v>512.0</v>
      </c>
      <c r="G40" s="7">
        <v>40.18250360938782</v>
      </c>
      <c r="H40" s="7">
        <v>4.778044419840302</v>
      </c>
      <c r="I40" s="7">
        <v>99.18902220992015</v>
      </c>
      <c r="J40" s="7">
        <v>371.560888396806</v>
      </c>
      <c r="K40" s="7">
        <v>19.22641476970722</v>
      </c>
    </row>
    <row r="41" ht="15.75" customHeight="1">
      <c r="A41" s="3" t="s">
        <v>60</v>
      </c>
      <c r="B41" s="3" t="s">
        <v>144</v>
      </c>
      <c r="C41" s="3">
        <v>10.0</v>
      </c>
      <c r="D41" s="3">
        <v>300.0</v>
      </c>
      <c r="E41" s="3">
        <v>30.0</v>
      </c>
      <c r="F41" s="3">
        <v>512.0</v>
      </c>
      <c r="G41" s="7">
        <v>40.40307129901676</v>
      </c>
      <c r="H41" s="7">
        <v>4.835583817134807</v>
      </c>
      <c r="I41" s="7">
        <v>99.2177919085674</v>
      </c>
      <c r="J41" s="7">
        <v>372.7116763426961</v>
      </c>
      <c r="K41" s="7">
        <v>19.33190366474714</v>
      </c>
    </row>
    <row r="42" ht="15.75" customHeight="1">
      <c r="A42" s="3" t="s">
        <v>60</v>
      </c>
      <c r="B42" s="3" t="s">
        <v>144</v>
      </c>
      <c r="C42" s="3">
        <v>11.0</v>
      </c>
      <c r="D42" s="3">
        <v>300.0</v>
      </c>
      <c r="E42" s="3">
        <v>30.0</v>
      </c>
      <c r="F42" s="3">
        <v>512.0</v>
      </c>
      <c r="G42" s="7">
        <v>40.62363898864569</v>
      </c>
      <c r="H42" s="7">
        <v>4.893123214429311</v>
      </c>
      <c r="I42" s="7">
        <v>99.24656160721466</v>
      </c>
      <c r="J42" s="7">
        <v>373.8624642885862</v>
      </c>
      <c r="K42" s="7">
        <v>19.43739255978707</v>
      </c>
    </row>
    <row r="43" ht="15.75" customHeight="1">
      <c r="A43" s="3" t="s">
        <v>60</v>
      </c>
      <c r="B43" s="3" t="s">
        <v>144</v>
      </c>
      <c r="C43" s="3">
        <v>12.0</v>
      </c>
      <c r="D43" s="3">
        <v>300.0</v>
      </c>
      <c r="E43" s="3">
        <v>30.0</v>
      </c>
      <c r="F43" s="3">
        <v>512.0</v>
      </c>
      <c r="G43" s="7">
        <v>40.84420667827462</v>
      </c>
      <c r="H43" s="7">
        <v>4.950662611723815</v>
      </c>
      <c r="I43" s="7">
        <v>99.27533130586191</v>
      </c>
      <c r="J43" s="7">
        <v>375.0132522344763</v>
      </c>
      <c r="K43" s="7">
        <v>19.54288145482699</v>
      </c>
    </row>
    <row r="44" ht="15.75" customHeight="1">
      <c r="A44" s="3" t="s">
        <v>60</v>
      </c>
      <c r="B44" s="3" t="s">
        <v>144</v>
      </c>
      <c r="C44" s="3">
        <v>13.0</v>
      </c>
      <c r="D44" s="3">
        <v>300.0</v>
      </c>
      <c r="E44" s="3">
        <v>30.0</v>
      </c>
      <c r="F44" s="3">
        <v>512.0</v>
      </c>
      <c r="G44" s="7">
        <v>41.06477436790355</v>
      </c>
      <c r="H44" s="7">
        <v>5.008202009018319</v>
      </c>
      <c r="I44" s="7">
        <v>99.30410100450916</v>
      </c>
      <c r="J44" s="7">
        <v>376.1640401803664</v>
      </c>
      <c r="K44" s="7">
        <v>19.64837034986692</v>
      </c>
    </row>
    <row r="45" ht="15.75" customHeight="1">
      <c r="A45" s="3" t="s">
        <v>60</v>
      </c>
      <c r="B45" s="3" t="s">
        <v>144</v>
      </c>
      <c r="C45" s="3">
        <v>14.0</v>
      </c>
      <c r="D45" s="3">
        <v>300.0</v>
      </c>
      <c r="E45" s="3">
        <v>30.0</v>
      </c>
      <c r="F45" s="3">
        <v>512.0</v>
      </c>
      <c r="G45" s="7">
        <v>41.30984957860237</v>
      </c>
      <c r="H45" s="7">
        <v>5.07213467267888</v>
      </c>
      <c r="I45" s="7">
        <v>99.33606733633944</v>
      </c>
      <c r="J45" s="7">
        <v>377.4426934535776</v>
      </c>
      <c r="K45" s="7">
        <v>19.76558023324461</v>
      </c>
    </row>
    <row r="46" ht="15.75" customHeight="1">
      <c r="A46" s="3" t="s">
        <v>60</v>
      </c>
      <c r="B46" s="3" t="s">
        <v>144</v>
      </c>
      <c r="C46" s="3">
        <v>15.0</v>
      </c>
      <c r="D46" s="3">
        <v>300.0</v>
      </c>
      <c r="E46" s="3">
        <v>30.0</v>
      </c>
      <c r="F46" s="3">
        <v>512.0</v>
      </c>
      <c r="G46" s="7">
        <v>41.55492478930118</v>
      </c>
      <c r="H46" s="7">
        <v>5.13606733633944</v>
      </c>
      <c r="I46" s="7">
        <v>99.36803366816973</v>
      </c>
      <c r="J46" s="7">
        <v>378.7213467267888</v>
      </c>
      <c r="K46" s="7">
        <v>19.88279011662231</v>
      </c>
    </row>
    <row r="47" ht="15.75" customHeight="1">
      <c r="A47" s="3" t="s">
        <v>60</v>
      </c>
      <c r="B47" s="3" t="s">
        <v>144</v>
      </c>
      <c r="C47" s="3">
        <v>16.0</v>
      </c>
      <c r="D47" s="3">
        <v>300.0</v>
      </c>
      <c r="E47" s="3">
        <v>30.0</v>
      </c>
      <c r="F47" s="3">
        <v>512.0</v>
      </c>
      <c r="G47" s="7">
        <v>42.04507521069881</v>
      </c>
      <c r="H47" s="7">
        <v>5.263932663660561</v>
      </c>
      <c r="I47" s="7">
        <v>99.43196633183028</v>
      </c>
      <c r="J47" s="7">
        <v>381.2786532732112</v>
      </c>
      <c r="K47" s="7">
        <v>20.11720988337769</v>
      </c>
    </row>
    <row r="48" ht="15.75" customHeight="1">
      <c r="A48" s="3" t="s">
        <v>60</v>
      </c>
      <c r="B48" s="3" t="s">
        <v>144</v>
      </c>
      <c r="C48" s="3">
        <v>17.0</v>
      </c>
      <c r="D48" s="3">
        <v>300.0</v>
      </c>
      <c r="E48" s="3">
        <v>30.0</v>
      </c>
      <c r="F48" s="3">
        <v>512.0</v>
      </c>
      <c r="G48" s="7">
        <v>42.29015042139763</v>
      </c>
      <c r="H48" s="7">
        <v>5.327865327321121</v>
      </c>
      <c r="I48" s="7">
        <v>99.46393266366057</v>
      </c>
      <c r="J48" s="7">
        <v>382.5573065464224</v>
      </c>
      <c r="K48" s="7">
        <v>20.23441976675539</v>
      </c>
    </row>
    <row r="49" ht="15.75" customHeight="1">
      <c r="A49" s="3" t="s">
        <v>60</v>
      </c>
      <c r="B49" s="3" t="s">
        <v>144</v>
      </c>
      <c r="C49" s="3">
        <v>18.0</v>
      </c>
      <c r="D49" s="3">
        <v>300.0</v>
      </c>
      <c r="E49" s="3">
        <v>30.0</v>
      </c>
      <c r="F49" s="3">
        <v>512.0</v>
      </c>
      <c r="G49" s="7">
        <v>42.53522563209644</v>
      </c>
      <c r="H49" s="7">
        <v>5.391797990981681</v>
      </c>
      <c r="I49" s="7">
        <v>99.49589899549085</v>
      </c>
      <c r="J49" s="7">
        <v>383.8359598196336</v>
      </c>
      <c r="K49" s="7">
        <v>20.35162965013308</v>
      </c>
    </row>
    <row r="50" ht="15.75" customHeight="1">
      <c r="A50" s="3" t="s">
        <v>60</v>
      </c>
      <c r="B50" s="3" t="s">
        <v>144</v>
      </c>
      <c r="C50" s="3">
        <v>19.0</v>
      </c>
      <c r="D50" s="3">
        <v>300.0</v>
      </c>
      <c r="E50" s="3">
        <v>30.0</v>
      </c>
      <c r="F50" s="3">
        <v>512.0</v>
      </c>
      <c r="G50" s="7">
        <v>42.75579332172537</v>
      </c>
      <c r="H50" s="7">
        <v>5.449337388276185</v>
      </c>
      <c r="I50" s="7">
        <v>99.5246686941381</v>
      </c>
      <c r="J50" s="7">
        <v>384.9867477655237</v>
      </c>
      <c r="K50" s="7">
        <v>20.45711854517301</v>
      </c>
    </row>
    <row r="51" ht="15.75" customHeight="1">
      <c r="A51" s="3" t="s">
        <v>60</v>
      </c>
      <c r="B51" s="3" t="s">
        <v>144</v>
      </c>
      <c r="C51" s="3">
        <v>20.0</v>
      </c>
      <c r="D51" s="3">
        <v>300.0</v>
      </c>
      <c r="E51" s="3">
        <v>30.0</v>
      </c>
      <c r="F51" s="3">
        <v>512.0</v>
      </c>
      <c r="G51" s="7">
        <v>42.97636101135431</v>
      </c>
      <c r="H51" s="7">
        <v>5.506876785570689</v>
      </c>
      <c r="I51" s="7">
        <v>99.55343839278535</v>
      </c>
      <c r="J51" s="7">
        <v>386.1375357114138</v>
      </c>
      <c r="K51" s="7">
        <v>20.56260744021293</v>
      </c>
    </row>
    <row r="52" ht="15.75" customHeight="1">
      <c r="A52" s="3" t="s">
        <v>60</v>
      </c>
      <c r="B52" s="3" t="s">
        <v>144</v>
      </c>
      <c r="C52" s="3">
        <v>21.0</v>
      </c>
      <c r="D52" s="3">
        <v>300.0</v>
      </c>
      <c r="E52" s="3">
        <v>30.0</v>
      </c>
      <c r="F52" s="3">
        <v>512.0</v>
      </c>
      <c r="G52" s="7">
        <v>43.19692870098324</v>
      </c>
      <c r="H52" s="7">
        <v>5.564416182865194</v>
      </c>
      <c r="I52" s="7">
        <v>99.5822080914326</v>
      </c>
      <c r="J52" s="7">
        <v>387.2883236573039</v>
      </c>
      <c r="K52" s="7">
        <v>20.66809633525286</v>
      </c>
    </row>
    <row r="53" ht="15.75" customHeight="1">
      <c r="A53" s="3" t="s">
        <v>60</v>
      </c>
      <c r="B53" s="3" t="s">
        <v>144</v>
      </c>
      <c r="C53" s="3">
        <v>22.0</v>
      </c>
      <c r="D53" s="3">
        <v>300.0</v>
      </c>
      <c r="E53" s="3">
        <v>30.0</v>
      </c>
      <c r="F53" s="3">
        <v>512.0</v>
      </c>
      <c r="G53" s="7">
        <v>43.41749639061217</v>
      </c>
      <c r="H53" s="7">
        <v>5.621955580159698</v>
      </c>
      <c r="I53" s="7">
        <v>99.61097779007986</v>
      </c>
      <c r="J53" s="7">
        <v>388.439111603194</v>
      </c>
      <c r="K53" s="7">
        <v>20.77358523029278</v>
      </c>
    </row>
    <row r="54" ht="15.75" customHeight="1">
      <c r="A54" s="3" t="s">
        <v>60</v>
      </c>
      <c r="B54" s="3" t="s">
        <v>144</v>
      </c>
      <c r="C54" s="3">
        <v>23.0</v>
      </c>
      <c r="D54" s="3">
        <v>300.0</v>
      </c>
      <c r="E54" s="3">
        <v>30.0</v>
      </c>
      <c r="F54" s="3">
        <v>512.0</v>
      </c>
      <c r="G54" s="7">
        <v>43.6380640802411</v>
      </c>
      <c r="H54" s="7">
        <v>5.679494977454202</v>
      </c>
      <c r="I54" s="7">
        <v>99.63974748872711</v>
      </c>
      <c r="J54" s="7">
        <v>389.589899549084</v>
      </c>
      <c r="K54" s="7">
        <v>20.8790741253327</v>
      </c>
    </row>
    <row r="55" ht="15.75" customHeight="1">
      <c r="A55" s="3" t="s">
        <v>60</v>
      </c>
      <c r="B55" s="3" t="s">
        <v>144</v>
      </c>
      <c r="C55" s="3">
        <v>24.0</v>
      </c>
      <c r="D55" s="3">
        <v>300.0</v>
      </c>
      <c r="E55" s="3">
        <v>30.0</v>
      </c>
      <c r="F55" s="3">
        <v>512.0</v>
      </c>
      <c r="G55" s="7">
        <v>43.85863176987004</v>
      </c>
      <c r="H55" s="7">
        <v>5.737034374748706</v>
      </c>
      <c r="I55" s="7">
        <v>99.66851718737436</v>
      </c>
      <c r="J55" s="7">
        <v>390.7406874949741</v>
      </c>
      <c r="K55" s="7">
        <v>20.98456302037263</v>
      </c>
    </row>
    <row r="56" ht="15.75" customHeight="1">
      <c r="A56" s="3" t="s">
        <v>60</v>
      </c>
      <c r="B56" s="3" t="s">
        <v>144</v>
      </c>
      <c r="C56" s="3">
        <v>25.0</v>
      </c>
      <c r="D56" s="3">
        <v>300.0</v>
      </c>
      <c r="E56" s="3">
        <v>30.0</v>
      </c>
      <c r="F56" s="3">
        <v>512.0</v>
      </c>
      <c r="G56" s="7">
        <v>44.10370698056885</v>
      </c>
      <c r="H56" s="7">
        <v>5.800967038409267</v>
      </c>
      <c r="I56" s="7">
        <v>99.70048351920464</v>
      </c>
      <c r="J56" s="7">
        <v>392.0193407681853</v>
      </c>
      <c r="K56" s="7">
        <v>21.10177290375032</v>
      </c>
    </row>
    <row r="57" ht="15.75" customHeight="1">
      <c r="A57" s="3" t="s">
        <v>60</v>
      </c>
      <c r="B57" s="3" t="s">
        <v>144</v>
      </c>
      <c r="C57" s="3">
        <v>26.0</v>
      </c>
      <c r="D57" s="3">
        <v>300.0</v>
      </c>
      <c r="E57" s="3">
        <v>30.0</v>
      </c>
      <c r="F57" s="3">
        <v>512.0</v>
      </c>
      <c r="G57" s="7">
        <v>44.37328971233755</v>
      </c>
      <c r="H57" s="7">
        <v>5.871292968435883</v>
      </c>
      <c r="I57" s="7">
        <v>99.73564648421795</v>
      </c>
      <c r="J57" s="7">
        <v>393.4258593687176</v>
      </c>
      <c r="K57" s="7">
        <v>21.23070377546578</v>
      </c>
    </row>
    <row r="58" ht="15.75" customHeight="1">
      <c r="A58" s="3" t="s">
        <v>60</v>
      </c>
      <c r="B58" s="3" t="s">
        <v>144</v>
      </c>
      <c r="C58" s="3">
        <v>27.0</v>
      </c>
      <c r="D58" s="3">
        <v>300.0</v>
      </c>
      <c r="E58" s="3">
        <v>30.0</v>
      </c>
      <c r="F58" s="3">
        <v>512.0</v>
      </c>
      <c r="G58" s="7">
        <v>44.66737996517612</v>
      </c>
      <c r="H58" s="7">
        <v>5.948012164828555</v>
      </c>
      <c r="I58" s="7">
        <v>99.77400608241429</v>
      </c>
      <c r="J58" s="7">
        <v>394.9602432965711</v>
      </c>
      <c r="K58" s="7">
        <v>21.37135563551902</v>
      </c>
    </row>
    <row r="59" ht="15.75" customHeight="1">
      <c r="A59" s="3" t="s">
        <v>60</v>
      </c>
      <c r="B59" s="3" t="s">
        <v>144</v>
      </c>
      <c r="C59" s="3">
        <v>28.0</v>
      </c>
      <c r="D59" s="3">
        <v>300.0</v>
      </c>
      <c r="E59" s="3">
        <v>30.0</v>
      </c>
      <c r="F59" s="3">
        <v>512.0</v>
      </c>
      <c r="G59" s="7">
        <v>45.01048526015446</v>
      </c>
      <c r="H59" s="7">
        <v>6.037517893953339</v>
      </c>
      <c r="I59" s="7">
        <v>99.81875894697667</v>
      </c>
      <c r="J59" s="7">
        <v>396.7503578790668</v>
      </c>
      <c r="K59" s="7">
        <v>21.53544947224779</v>
      </c>
    </row>
    <row r="60" ht="15.75" customHeight="1">
      <c r="A60" s="3" t="s">
        <v>60</v>
      </c>
      <c r="B60" s="3" t="s">
        <v>144</v>
      </c>
      <c r="C60" s="3">
        <v>29.0</v>
      </c>
      <c r="D60" s="3">
        <v>300.0</v>
      </c>
      <c r="E60" s="3">
        <v>30.0</v>
      </c>
      <c r="F60" s="3">
        <v>512.0</v>
      </c>
      <c r="G60" s="7">
        <v>45.42711311834245</v>
      </c>
      <c r="H60" s="7">
        <v>6.146203422176292</v>
      </c>
      <c r="I60" s="7">
        <v>99.87310171108815</v>
      </c>
      <c r="J60" s="7">
        <v>398.9240684435258</v>
      </c>
      <c r="K60" s="7">
        <v>21.73470627398987</v>
      </c>
    </row>
    <row r="61" ht="15.75" customHeight="1">
      <c r="A61" s="3" t="s">
        <v>60</v>
      </c>
      <c r="B61" s="3" t="s">
        <v>144</v>
      </c>
      <c r="C61" s="3">
        <v>30.0</v>
      </c>
      <c r="D61" s="3">
        <v>300.0</v>
      </c>
      <c r="E61" s="3">
        <v>30.0</v>
      </c>
      <c r="F61" s="3">
        <v>512.0</v>
      </c>
      <c r="G61" s="7">
        <v>46.01529362401961</v>
      </c>
      <c r="H61" s="7">
        <v>6.299641814961636</v>
      </c>
      <c r="I61" s="7">
        <v>99.94982090748083</v>
      </c>
      <c r="J61" s="7">
        <v>401.9928362992327</v>
      </c>
      <c r="K61" s="7">
        <v>22.01600999409633</v>
      </c>
    </row>
    <row r="62" ht="15.75" customHeight="1">
      <c r="A62" s="3" t="s">
        <v>86</v>
      </c>
      <c r="B62" s="3" t="s">
        <v>145</v>
      </c>
      <c r="C62" s="3">
        <v>1.0</v>
      </c>
      <c r="D62" s="3">
        <v>300.0</v>
      </c>
      <c r="E62" s="3">
        <v>30.0</v>
      </c>
      <c r="F62" s="3">
        <v>512.0</v>
      </c>
      <c r="G62" s="7">
        <v>19.65089546259591</v>
      </c>
      <c r="H62" s="7">
        <v>3.883631820865303</v>
      </c>
      <c r="I62" s="7">
        <v>97.6836318208653</v>
      </c>
      <c r="J62" s="7">
        <v>225.3381091338449</v>
      </c>
      <c r="K62" s="7">
        <v>21.25089546259591</v>
      </c>
    </row>
    <row r="63" ht="15.75" customHeight="1">
      <c r="A63" s="3" t="s">
        <v>86</v>
      </c>
      <c r="B63" s="3" t="s">
        <v>145</v>
      </c>
      <c r="C63" s="3">
        <v>2.0</v>
      </c>
      <c r="D63" s="3">
        <v>300.0</v>
      </c>
      <c r="E63" s="3">
        <v>30.0</v>
      </c>
      <c r="F63" s="3">
        <v>512.0</v>
      </c>
      <c r="G63" s="7">
        <v>20.03449144455927</v>
      </c>
      <c r="H63" s="7">
        <v>4.011497148186423</v>
      </c>
      <c r="I63" s="7">
        <v>97.81149714818642</v>
      </c>
      <c r="J63" s="7">
        <v>227.3839543709828</v>
      </c>
      <c r="K63" s="7">
        <v>21.63449144455927</v>
      </c>
    </row>
    <row r="64" ht="15.75" customHeight="1">
      <c r="A64" s="3" t="s">
        <v>86</v>
      </c>
      <c r="B64" s="3" t="s">
        <v>145</v>
      </c>
      <c r="C64" s="3">
        <v>3.0</v>
      </c>
      <c r="D64" s="3">
        <v>300.0</v>
      </c>
      <c r="E64" s="3">
        <v>30.0</v>
      </c>
      <c r="F64" s="3">
        <v>512.0</v>
      </c>
      <c r="G64" s="7">
        <v>20.30620526511665</v>
      </c>
      <c r="H64" s="7">
        <v>4.102068421705551</v>
      </c>
      <c r="I64" s="7">
        <v>97.90206842170555</v>
      </c>
      <c r="J64" s="7">
        <v>228.8330947472888</v>
      </c>
      <c r="K64" s="7">
        <v>21.90620526511665</v>
      </c>
    </row>
    <row r="65" ht="15.75" customHeight="1">
      <c r="A65" s="3" t="s">
        <v>86</v>
      </c>
      <c r="B65" s="3" t="s">
        <v>145</v>
      </c>
      <c r="C65" s="3">
        <v>4.0</v>
      </c>
      <c r="D65" s="3">
        <v>300.0</v>
      </c>
      <c r="E65" s="3">
        <v>30.0</v>
      </c>
      <c r="F65" s="3">
        <v>512.0</v>
      </c>
      <c r="G65" s="7">
        <v>20.52996958792861</v>
      </c>
      <c r="H65" s="7">
        <v>4.176656529309538</v>
      </c>
      <c r="I65" s="7">
        <v>97.97665652930954</v>
      </c>
      <c r="J65" s="7">
        <v>230.0265044689526</v>
      </c>
      <c r="K65" s="7">
        <v>22.12996958792861</v>
      </c>
    </row>
    <row r="66" ht="15.75" customHeight="1">
      <c r="A66" s="3" t="s">
        <v>86</v>
      </c>
      <c r="B66" s="3" t="s">
        <v>145</v>
      </c>
      <c r="C66" s="3">
        <v>5.0</v>
      </c>
      <c r="D66" s="3">
        <v>300.0</v>
      </c>
      <c r="E66" s="3">
        <v>30.0</v>
      </c>
      <c r="F66" s="3">
        <v>512.0</v>
      </c>
      <c r="G66" s="7">
        <v>20.72176757891029</v>
      </c>
      <c r="H66" s="7">
        <v>4.240589192970098</v>
      </c>
      <c r="I66" s="7">
        <v>98.04058919297009</v>
      </c>
      <c r="J66" s="7">
        <v>231.0494270875216</v>
      </c>
      <c r="K66" s="7">
        <v>22.32176757891029</v>
      </c>
    </row>
    <row r="67" ht="15.75" customHeight="1">
      <c r="A67" s="3" t="s">
        <v>86</v>
      </c>
      <c r="B67" s="3" t="s">
        <v>145</v>
      </c>
      <c r="C67" s="3">
        <v>6.0</v>
      </c>
      <c r="D67" s="3">
        <v>300.0</v>
      </c>
      <c r="E67" s="3">
        <v>30.0</v>
      </c>
      <c r="F67" s="3">
        <v>512.0</v>
      </c>
      <c r="G67" s="7">
        <v>20.89758240397683</v>
      </c>
      <c r="H67" s="7">
        <v>4.299194134658944</v>
      </c>
      <c r="I67" s="7">
        <v>98.09919413465894</v>
      </c>
      <c r="J67" s="7">
        <v>231.9871061545431</v>
      </c>
      <c r="K67" s="7">
        <v>22.49758240397684</v>
      </c>
    </row>
    <row r="68" ht="15.75" customHeight="1">
      <c r="A68" s="3" t="s">
        <v>86</v>
      </c>
      <c r="B68" s="3" t="s">
        <v>145</v>
      </c>
      <c r="C68" s="3">
        <v>7.0</v>
      </c>
      <c r="D68" s="3">
        <v>300.0</v>
      </c>
      <c r="E68" s="3">
        <v>30.0</v>
      </c>
      <c r="F68" s="3">
        <v>512.0</v>
      </c>
      <c r="G68" s="7">
        <v>21.05741406312823</v>
      </c>
      <c r="H68" s="7">
        <v>4.352471354376078</v>
      </c>
      <c r="I68" s="7">
        <v>98.15247135437608</v>
      </c>
      <c r="J68" s="7">
        <v>232.8395416700172</v>
      </c>
      <c r="K68" s="7">
        <v>22.65741406312824</v>
      </c>
    </row>
    <row r="69" ht="15.75" customHeight="1">
      <c r="A69" s="3" t="s">
        <v>86</v>
      </c>
      <c r="B69" s="3" t="s">
        <v>145</v>
      </c>
      <c r="C69" s="3">
        <v>8.0</v>
      </c>
      <c r="D69" s="3">
        <v>300.0</v>
      </c>
      <c r="E69" s="3">
        <v>30.0</v>
      </c>
      <c r="F69" s="3">
        <v>512.0</v>
      </c>
      <c r="G69" s="7">
        <v>21.20126255636449</v>
      </c>
      <c r="H69" s="7">
        <v>4.400420852121498</v>
      </c>
      <c r="I69" s="7">
        <v>98.2004208521215</v>
      </c>
      <c r="J69" s="7">
        <v>233.606733633944</v>
      </c>
      <c r="K69" s="7">
        <v>22.8012625563645</v>
      </c>
    </row>
    <row r="70" ht="15.75" customHeight="1">
      <c r="A70" s="3" t="s">
        <v>86</v>
      </c>
      <c r="B70" s="3" t="s">
        <v>145</v>
      </c>
      <c r="C70" s="3">
        <v>9.0</v>
      </c>
      <c r="D70" s="3">
        <v>300.0</v>
      </c>
      <c r="E70" s="3">
        <v>30.0</v>
      </c>
      <c r="F70" s="3">
        <v>512.0</v>
      </c>
      <c r="G70" s="7">
        <v>21.34511104960075</v>
      </c>
      <c r="H70" s="7">
        <v>4.448370349866918</v>
      </c>
      <c r="I70" s="7">
        <v>98.24837034986692</v>
      </c>
      <c r="J70" s="7">
        <v>234.3739255978707</v>
      </c>
      <c r="K70" s="7">
        <v>22.94511104960075</v>
      </c>
    </row>
    <row r="71" ht="15.75" customHeight="1">
      <c r="A71" s="3" t="s">
        <v>86</v>
      </c>
      <c r="B71" s="3" t="s">
        <v>145</v>
      </c>
      <c r="C71" s="3">
        <v>10.0</v>
      </c>
      <c r="D71" s="3">
        <v>300.0</v>
      </c>
      <c r="E71" s="3">
        <v>30.0</v>
      </c>
      <c r="F71" s="3">
        <v>512.0</v>
      </c>
      <c r="G71" s="7">
        <v>21.48895954283702</v>
      </c>
      <c r="H71" s="7">
        <v>4.496319847612339</v>
      </c>
      <c r="I71" s="7">
        <v>98.29631984761234</v>
      </c>
      <c r="J71" s="7">
        <v>235.1411175617974</v>
      </c>
      <c r="K71" s="7">
        <v>23.08895954283702</v>
      </c>
    </row>
    <row r="72" ht="15.75" customHeight="1">
      <c r="A72" s="3" t="s">
        <v>86</v>
      </c>
      <c r="B72" s="3" t="s">
        <v>145</v>
      </c>
      <c r="C72" s="3">
        <v>11.0</v>
      </c>
      <c r="D72" s="3">
        <v>300.0</v>
      </c>
      <c r="E72" s="3">
        <v>30.0</v>
      </c>
      <c r="F72" s="3">
        <v>512.0</v>
      </c>
      <c r="G72" s="7">
        <v>21.63280803607327</v>
      </c>
      <c r="H72" s="7">
        <v>4.544269345357759</v>
      </c>
      <c r="I72" s="7">
        <v>98.34426934535776</v>
      </c>
      <c r="J72" s="7">
        <v>235.9083095257241</v>
      </c>
      <c r="K72" s="7">
        <v>23.23280803607328</v>
      </c>
    </row>
    <row r="73" ht="15.75" customHeight="1">
      <c r="A73" s="3" t="s">
        <v>86</v>
      </c>
      <c r="B73" s="3" t="s">
        <v>145</v>
      </c>
      <c r="C73" s="3">
        <v>12.0</v>
      </c>
      <c r="D73" s="3">
        <v>300.0</v>
      </c>
      <c r="E73" s="3">
        <v>30.0</v>
      </c>
      <c r="F73" s="3">
        <v>512.0</v>
      </c>
      <c r="G73" s="7">
        <v>21.77665652930954</v>
      </c>
      <c r="H73" s="7">
        <v>4.592218843103179</v>
      </c>
      <c r="I73" s="7">
        <v>98.39221884310318</v>
      </c>
      <c r="J73" s="7">
        <v>236.6755014896509</v>
      </c>
      <c r="K73" s="7">
        <v>23.37665652930954</v>
      </c>
    </row>
    <row r="74" ht="15.75" customHeight="1">
      <c r="A74" s="3" t="s">
        <v>86</v>
      </c>
      <c r="B74" s="3" t="s">
        <v>145</v>
      </c>
      <c r="C74" s="3">
        <v>13.0</v>
      </c>
      <c r="D74" s="3">
        <v>300.0</v>
      </c>
      <c r="E74" s="3">
        <v>30.0</v>
      </c>
      <c r="F74" s="3">
        <v>512.0</v>
      </c>
      <c r="G74" s="7">
        <v>21.9205050225458</v>
      </c>
      <c r="H74" s="7">
        <v>4.640168340848599</v>
      </c>
      <c r="I74" s="7">
        <v>98.4401683408486</v>
      </c>
      <c r="J74" s="7">
        <v>237.4426934535776</v>
      </c>
      <c r="K74" s="7">
        <v>23.5205050225458</v>
      </c>
    </row>
    <row r="75" ht="15.75" customHeight="1">
      <c r="A75" s="3" t="s">
        <v>86</v>
      </c>
      <c r="B75" s="3" t="s">
        <v>145</v>
      </c>
      <c r="C75" s="3">
        <v>14.0</v>
      </c>
      <c r="D75" s="3">
        <v>300.0</v>
      </c>
      <c r="E75" s="3">
        <v>30.0</v>
      </c>
      <c r="F75" s="3">
        <v>512.0</v>
      </c>
      <c r="G75" s="7">
        <v>22.0803366816972</v>
      </c>
      <c r="H75" s="7">
        <v>4.693445560565733</v>
      </c>
      <c r="I75" s="7">
        <v>98.49344556056573</v>
      </c>
      <c r="J75" s="7">
        <v>238.2951289690517</v>
      </c>
      <c r="K75" s="7">
        <v>23.6803366816972</v>
      </c>
    </row>
    <row r="76" ht="15.75" customHeight="1">
      <c r="A76" s="3" t="s">
        <v>86</v>
      </c>
      <c r="B76" s="3" t="s">
        <v>145</v>
      </c>
      <c r="C76" s="3">
        <v>15.0</v>
      </c>
      <c r="D76" s="3">
        <v>300.0</v>
      </c>
      <c r="E76" s="3">
        <v>30.0</v>
      </c>
      <c r="F76" s="3">
        <v>512.0</v>
      </c>
      <c r="G76" s="7">
        <v>22.2401683408486</v>
      </c>
      <c r="H76" s="7">
        <v>4.746722780282866</v>
      </c>
      <c r="I76" s="7">
        <v>98.54672278028286</v>
      </c>
      <c r="J76" s="7">
        <v>239.1475644845259</v>
      </c>
      <c r="K76" s="7">
        <v>23.8401683408486</v>
      </c>
    </row>
    <row r="77" ht="15.75" customHeight="1">
      <c r="A77" s="3" t="s">
        <v>86</v>
      </c>
      <c r="B77" s="3" t="s">
        <v>145</v>
      </c>
      <c r="C77" s="3">
        <v>16.0</v>
      </c>
      <c r="D77" s="3">
        <v>300.0</v>
      </c>
      <c r="E77" s="3">
        <v>30.0</v>
      </c>
      <c r="F77" s="3">
        <v>512.0</v>
      </c>
      <c r="G77" s="7">
        <v>22.5598316591514</v>
      </c>
      <c r="H77" s="7">
        <v>4.853277219717134</v>
      </c>
      <c r="I77" s="7">
        <v>98.65327721971713</v>
      </c>
      <c r="J77" s="7">
        <v>240.8524355154741</v>
      </c>
      <c r="K77" s="7">
        <v>24.1598316591514</v>
      </c>
    </row>
    <row r="78" ht="15.75" customHeight="1">
      <c r="A78" s="3" t="s">
        <v>86</v>
      </c>
      <c r="B78" s="3" t="s">
        <v>145</v>
      </c>
      <c r="C78" s="3">
        <v>17.0</v>
      </c>
      <c r="D78" s="3">
        <v>300.0</v>
      </c>
      <c r="E78" s="3">
        <v>30.0</v>
      </c>
      <c r="F78" s="3">
        <v>512.0</v>
      </c>
      <c r="G78" s="7">
        <v>22.7196633183028</v>
      </c>
      <c r="H78" s="7">
        <v>4.906554439434267</v>
      </c>
      <c r="I78" s="7">
        <v>98.70655443943426</v>
      </c>
      <c r="J78" s="7">
        <v>241.7048710309483</v>
      </c>
      <c r="K78" s="7">
        <v>24.3196633183028</v>
      </c>
    </row>
    <row r="79" ht="15.75" customHeight="1">
      <c r="A79" s="3" t="s">
        <v>86</v>
      </c>
      <c r="B79" s="3" t="s">
        <v>145</v>
      </c>
      <c r="C79" s="3">
        <v>18.0</v>
      </c>
      <c r="D79" s="3">
        <v>300.0</v>
      </c>
      <c r="E79" s="3">
        <v>30.0</v>
      </c>
      <c r="F79" s="3">
        <v>512.0</v>
      </c>
      <c r="G79" s="7">
        <v>22.8794949774542</v>
      </c>
      <c r="H79" s="7">
        <v>4.9598316591514</v>
      </c>
      <c r="I79" s="7">
        <v>98.75983165915139</v>
      </c>
      <c r="J79" s="7">
        <v>242.5573065464224</v>
      </c>
      <c r="K79" s="7">
        <v>24.4794949774542</v>
      </c>
    </row>
    <row r="80" ht="15.75" customHeight="1">
      <c r="A80" s="3" t="s">
        <v>86</v>
      </c>
      <c r="B80" s="3" t="s">
        <v>145</v>
      </c>
      <c r="C80" s="3">
        <v>19.0</v>
      </c>
      <c r="D80" s="3">
        <v>300.0</v>
      </c>
      <c r="E80" s="3">
        <v>30.0</v>
      </c>
      <c r="F80" s="3">
        <v>512.0</v>
      </c>
      <c r="G80" s="7">
        <v>23.02334347069046</v>
      </c>
      <c r="H80" s="7">
        <v>5.00778115689682</v>
      </c>
      <c r="I80" s="7">
        <v>98.80778115689681</v>
      </c>
      <c r="J80" s="7">
        <v>243.3244985103491</v>
      </c>
      <c r="K80" s="7">
        <v>24.62334347069046</v>
      </c>
    </row>
    <row r="81" ht="15.75" customHeight="1">
      <c r="A81" s="3" t="s">
        <v>86</v>
      </c>
      <c r="B81" s="3" t="s">
        <v>145</v>
      </c>
      <c r="C81" s="3">
        <v>20.0</v>
      </c>
      <c r="D81" s="3">
        <v>300.0</v>
      </c>
      <c r="E81" s="3">
        <v>30.0</v>
      </c>
      <c r="F81" s="3">
        <v>512.0</v>
      </c>
      <c r="G81" s="7">
        <v>23.16719196392672</v>
      </c>
      <c r="H81" s="7">
        <v>5.05573065464224</v>
      </c>
      <c r="I81" s="7">
        <v>98.85573065464223</v>
      </c>
      <c r="J81" s="7">
        <v>244.0916904742759</v>
      </c>
      <c r="K81" s="7">
        <v>24.76719196392672</v>
      </c>
    </row>
    <row r="82" ht="15.75" customHeight="1">
      <c r="A82" s="3" t="s">
        <v>86</v>
      </c>
      <c r="B82" s="3" t="s">
        <v>145</v>
      </c>
      <c r="C82" s="3">
        <v>21.0</v>
      </c>
      <c r="D82" s="3">
        <v>300.0</v>
      </c>
      <c r="E82" s="3">
        <v>30.0</v>
      </c>
      <c r="F82" s="3">
        <v>512.0</v>
      </c>
      <c r="G82" s="7">
        <v>23.31104045716298</v>
      </c>
      <c r="H82" s="7">
        <v>5.10368015238766</v>
      </c>
      <c r="I82" s="7">
        <v>98.90368015238765</v>
      </c>
      <c r="J82" s="7">
        <v>244.8588824382026</v>
      </c>
      <c r="K82" s="7">
        <v>24.91104045716298</v>
      </c>
    </row>
    <row r="83" ht="15.75" customHeight="1">
      <c r="A83" s="3" t="s">
        <v>86</v>
      </c>
      <c r="B83" s="3" t="s">
        <v>145</v>
      </c>
      <c r="C83" s="3">
        <v>22.0</v>
      </c>
      <c r="D83" s="3">
        <v>300.0</v>
      </c>
      <c r="E83" s="3">
        <v>30.0</v>
      </c>
      <c r="F83" s="3">
        <v>512.0</v>
      </c>
      <c r="G83" s="7">
        <v>23.45488895039924</v>
      </c>
      <c r="H83" s="7">
        <v>5.151629650133081</v>
      </c>
      <c r="I83" s="7">
        <v>98.95162965013307</v>
      </c>
      <c r="J83" s="7">
        <v>245.6260744021293</v>
      </c>
      <c r="K83" s="7">
        <v>25.05488895039925</v>
      </c>
    </row>
    <row r="84" ht="15.75" customHeight="1">
      <c r="A84" s="3" t="s">
        <v>86</v>
      </c>
      <c r="B84" s="3" t="s">
        <v>145</v>
      </c>
      <c r="C84" s="3">
        <v>23.0</v>
      </c>
      <c r="D84" s="3">
        <v>300.0</v>
      </c>
      <c r="E84" s="3">
        <v>30.0</v>
      </c>
      <c r="F84" s="3">
        <v>512.0</v>
      </c>
      <c r="G84" s="7">
        <v>23.5987374436355</v>
      </c>
      <c r="H84" s="7">
        <v>5.199579147878501</v>
      </c>
      <c r="I84" s="7">
        <v>98.99957914787849</v>
      </c>
      <c r="J84" s="7">
        <v>246.393266366056</v>
      </c>
      <c r="K84" s="7">
        <v>25.1987374436355</v>
      </c>
    </row>
    <row r="85" ht="15.75" customHeight="1">
      <c r="A85" s="3" t="s">
        <v>86</v>
      </c>
      <c r="B85" s="3" t="s">
        <v>145</v>
      </c>
      <c r="C85" s="3">
        <v>24.0</v>
      </c>
      <c r="D85" s="3">
        <v>300.0</v>
      </c>
      <c r="E85" s="3">
        <v>30.0</v>
      </c>
      <c r="F85" s="3">
        <v>512.0</v>
      </c>
      <c r="G85" s="7">
        <v>23.74258593687176</v>
      </c>
      <c r="H85" s="7">
        <v>5.247528645623921</v>
      </c>
      <c r="I85" s="7">
        <v>99.04752864562391</v>
      </c>
      <c r="J85" s="7">
        <v>247.1604583299828</v>
      </c>
      <c r="K85" s="7">
        <v>25.34258593687176</v>
      </c>
    </row>
    <row r="86" ht="15.75" customHeight="1">
      <c r="A86" s="3" t="s">
        <v>86</v>
      </c>
      <c r="B86" s="3" t="s">
        <v>145</v>
      </c>
      <c r="C86" s="3">
        <v>25.0</v>
      </c>
      <c r="D86" s="3">
        <v>300.0</v>
      </c>
      <c r="E86" s="3">
        <v>30.0</v>
      </c>
      <c r="F86" s="3">
        <v>512.0</v>
      </c>
      <c r="G86" s="7">
        <v>23.90241759602316</v>
      </c>
      <c r="H86" s="7">
        <v>5.300805865341055</v>
      </c>
      <c r="I86" s="7">
        <v>99.10080586534104</v>
      </c>
      <c r="J86" s="7">
        <v>248.0128938454569</v>
      </c>
      <c r="K86" s="7">
        <v>25.50241759602316</v>
      </c>
    </row>
    <row r="87" ht="15.75" customHeight="1">
      <c r="A87" s="3" t="s">
        <v>86</v>
      </c>
      <c r="B87" s="3" t="s">
        <v>145</v>
      </c>
      <c r="C87" s="3">
        <v>26.0</v>
      </c>
      <c r="D87" s="3">
        <v>300.0</v>
      </c>
      <c r="E87" s="3">
        <v>30.0</v>
      </c>
      <c r="F87" s="3">
        <v>512.0</v>
      </c>
      <c r="G87" s="7">
        <v>24.07823242108971</v>
      </c>
      <c r="H87" s="7">
        <v>5.359410807029902</v>
      </c>
      <c r="I87" s="7">
        <v>99.1594108070299</v>
      </c>
      <c r="J87" s="7">
        <v>248.9505729124784</v>
      </c>
      <c r="K87" s="7">
        <v>25.67823242108971</v>
      </c>
    </row>
    <row r="88" ht="15.75" customHeight="1">
      <c r="A88" s="3" t="s">
        <v>86</v>
      </c>
      <c r="B88" s="3" t="s">
        <v>145</v>
      </c>
      <c r="C88" s="3">
        <v>27.0</v>
      </c>
      <c r="D88" s="3">
        <v>300.0</v>
      </c>
      <c r="E88" s="3">
        <v>30.0</v>
      </c>
      <c r="F88" s="3">
        <v>512.0</v>
      </c>
      <c r="G88" s="7">
        <v>24.27003041207139</v>
      </c>
      <c r="H88" s="7">
        <v>5.423343470690462</v>
      </c>
      <c r="I88" s="7">
        <v>99.22334347069045</v>
      </c>
      <c r="J88" s="7">
        <v>249.9734955310474</v>
      </c>
      <c r="K88" s="7">
        <v>25.87003041207139</v>
      </c>
    </row>
    <row r="89" ht="15.75" customHeight="1">
      <c r="A89" s="3" t="s">
        <v>86</v>
      </c>
      <c r="B89" s="3" t="s">
        <v>145</v>
      </c>
      <c r="C89" s="3">
        <v>28.0</v>
      </c>
      <c r="D89" s="3">
        <v>300.0</v>
      </c>
      <c r="E89" s="3">
        <v>30.0</v>
      </c>
      <c r="F89" s="3">
        <v>512.0</v>
      </c>
      <c r="G89" s="7">
        <v>24.49379473488334</v>
      </c>
      <c r="H89" s="7">
        <v>5.497931578294449</v>
      </c>
      <c r="I89" s="7">
        <v>99.29793157829444</v>
      </c>
      <c r="J89" s="7">
        <v>251.1669052527112</v>
      </c>
      <c r="K89" s="7">
        <v>26.09379473488335</v>
      </c>
    </row>
    <row r="90" ht="15.75" customHeight="1">
      <c r="A90" s="3" t="s">
        <v>86</v>
      </c>
      <c r="B90" s="3" t="s">
        <v>145</v>
      </c>
      <c r="C90" s="3">
        <v>29.0</v>
      </c>
      <c r="D90" s="3">
        <v>300.0</v>
      </c>
      <c r="E90" s="3">
        <v>30.0</v>
      </c>
      <c r="F90" s="3">
        <v>512.0</v>
      </c>
      <c r="G90" s="7">
        <v>24.76550855544073</v>
      </c>
      <c r="H90" s="7">
        <v>5.588502851813576</v>
      </c>
      <c r="I90" s="7">
        <v>99.38850285181357</v>
      </c>
      <c r="J90" s="7">
        <v>252.6160456290172</v>
      </c>
      <c r="K90" s="7">
        <v>26.36550855544073</v>
      </c>
    </row>
    <row r="91" ht="15.75" customHeight="1">
      <c r="A91" s="3" t="s">
        <v>86</v>
      </c>
      <c r="B91" s="3" t="s">
        <v>145</v>
      </c>
      <c r="C91" s="3">
        <v>30.0</v>
      </c>
      <c r="D91" s="3">
        <v>300.0</v>
      </c>
      <c r="E91" s="3">
        <v>30.0</v>
      </c>
      <c r="F91" s="3">
        <v>512.0</v>
      </c>
      <c r="G91" s="7">
        <v>25.14910453740409</v>
      </c>
      <c r="H91" s="7">
        <v>5.716368179134697</v>
      </c>
      <c r="I91" s="7">
        <v>99.51636817913469</v>
      </c>
      <c r="J91" s="7">
        <v>254.6618908661551</v>
      </c>
      <c r="K91" s="7">
        <v>26.74910453740409</v>
      </c>
    </row>
    <row r="92" ht="15.75" customHeight="1">
      <c r="A92" s="3" t="s">
        <v>86</v>
      </c>
      <c r="B92" s="3" t="s">
        <v>146</v>
      </c>
      <c r="C92" s="3">
        <v>1.0</v>
      </c>
      <c r="D92" s="3">
        <v>300.0</v>
      </c>
      <c r="E92" s="3">
        <v>30.0</v>
      </c>
      <c r="F92" s="3">
        <v>512.0</v>
      </c>
      <c r="G92" s="7">
        <v>35.05125364763427</v>
      </c>
      <c r="H92" s="7">
        <v>4.833810913384485</v>
      </c>
      <c r="I92" s="7">
        <v>98.36690545669224</v>
      </c>
      <c r="J92" s="7">
        <v>392.5089546259591</v>
      </c>
      <c r="K92" s="7">
        <v>20.80071637007673</v>
      </c>
    </row>
    <row r="93" ht="15.75" customHeight="1">
      <c r="A93" s="3" t="s">
        <v>86</v>
      </c>
      <c r="B93" s="3" t="s">
        <v>146</v>
      </c>
      <c r="C93" s="3">
        <v>2.0</v>
      </c>
      <c r="D93" s="3">
        <v>300.0</v>
      </c>
      <c r="E93" s="3">
        <v>30.0</v>
      </c>
      <c r="F93" s="3">
        <v>512.0</v>
      </c>
      <c r="G93" s="7">
        <v>35.58828802238298</v>
      </c>
      <c r="H93" s="7">
        <v>5.038395437098278</v>
      </c>
      <c r="I93" s="7">
        <v>98.46919771854914</v>
      </c>
      <c r="J93" s="7">
        <v>396.3449144455927</v>
      </c>
      <c r="K93" s="7">
        <v>21.10759315564742</v>
      </c>
    </row>
    <row r="94" ht="15.75" customHeight="1">
      <c r="A94" s="3" t="s">
        <v>86</v>
      </c>
      <c r="B94" s="3" t="s">
        <v>146</v>
      </c>
      <c r="C94" s="3">
        <v>3.0</v>
      </c>
      <c r="D94" s="3">
        <v>300.0</v>
      </c>
      <c r="E94" s="3">
        <v>30.0</v>
      </c>
      <c r="F94" s="3">
        <v>512.0</v>
      </c>
      <c r="G94" s="7">
        <v>35.96868737116331</v>
      </c>
      <c r="H94" s="7">
        <v>5.183309474728881</v>
      </c>
      <c r="I94" s="7">
        <v>98.54165473736444</v>
      </c>
      <c r="J94" s="7">
        <v>399.0620526511665</v>
      </c>
      <c r="K94" s="7">
        <v>21.32496421209332</v>
      </c>
    </row>
    <row r="95" ht="15.75" customHeight="1">
      <c r="A95" s="3" t="s">
        <v>86</v>
      </c>
      <c r="B95" s="3" t="s">
        <v>146</v>
      </c>
      <c r="C95" s="3">
        <v>4.0</v>
      </c>
      <c r="D95" s="3">
        <v>300.0</v>
      </c>
      <c r="E95" s="3">
        <v>30.0</v>
      </c>
      <c r="F95" s="3">
        <v>512.0</v>
      </c>
      <c r="G95" s="7">
        <v>36.28195742310006</v>
      </c>
      <c r="H95" s="7">
        <v>5.30265044689526</v>
      </c>
      <c r="I95" s="7">
        <v>98.60132522344763</v>
      </c>
      <c r="J95" s="7">
        <v>401.2996958792861</v>
      </c>
      <c r="K95" s="7">
        <v>21.50397567034289</v>
      </c>
    </row>
    <row r="96" ht="15.75" customHeight="1">
      <c r="A96" s="3" t="s">
        <v>86</v>
      </c>
      <c r="B96" s="3" t="s">
        <v>146</v>
      </c>
      <c r="C96" s="3">
        <v>5.0</v>
      </c>
      <c r="D96" s="3">
        <v>300.0</v>
      </c>
      <c r="E96" s="3">
        <v>30.0</v>
      </c>
      <c r="F96" s="3">
        <v>512.0</v>
      </c>
      <c r="G96" s="7">
        <v>36.55047461047441</v>
      </c>
      <c r="H96" s="7">
        <v>5.404942708752157</v>
      </c>
      <c r="I96" s="7">
        <v>98.65247135437608</v>
      </c>
      <c r="J96" s="7">
        <v>403.2176757891029</v>
      </c>
      <c r="K96" s="7">
        <v>21.65741406312824</v>
      </c>
    </row>
    <row r="97" ht="15.75" customHeight="1">
      <c r="A97" s="3" t="s">
        <v>86</v>
      </c>
      <c r="B97" s="3" t="s">
        <v>146</v>
      </c>
      <c r="C97" s="3">
        <v>6.0</v>
      </c>
      <c r="D97" s="3">
        <v>300.0</v>
      </c>
      <c r="E97" s="3">
        <v>30.0</v>
      </c>
      <c r="F97" s="3">
        <v>512.0</v>
      </c>
      <c r="G97" s="7">
        <v>36.79661536556757</v>
      </c>
      <c r="H97" s="7">
        <v>5.498710615454312</v>
      </c>
      <c r="I97" s="7">
        <v>98.69935530772715</v>
      </c>
      <c r="J97" s="7">
        <v>404.9758240397683</v>
      </c>
      <c r="K97" s="7">
        <v>21.79806592318147</v>
      </c>
    </row>
    <row r="98" ht="15.75" customHeight="1">
      <c r="A98" s="3" t="s">
        <v>86</v>
      </c>
      <c r="B98" s="3" t="s">
        <v>146</v>
      </c>
      <c r="C98" s="3">
        <v>7.0</v>
      </c>
      <c r="D98" s="3">
        <v>300.0</v>
      </c>
      <c r="E98" s="3">
        <v>30.0</v>
      </c>
      <c r="F98" s="3">
        <v>512.0</v>
      </c>
      <c r="G98" s="7">
        <v>37.02037968837953</v>
      </c>
      <c r="H98" s="7">
        <v>5.583954167001725</v>
      </c>
      <c r="I98" s="7">
        <v>98.74197708350086</v>
      </c>
      <c r="J98" s="7">
        <v>406.5741406312824</v>
      </c>
      <c r="K98" s="7">
        <v>21.92593125050259</v>
      </c>
    </row>
    <row r="99" ht="15.75" customHeight="1">
      <c r="A99" s="3" t="s">
        <v>86</v>
      </c>
      <c r="B99" s="3" t="s">
        <v>146</v>
      </c>
      <c r="C99" s="3">
        <v>8.0</v>
      </c>
      <c r="D99" s="3">
        <v>300.0</v>
      </c>
      <c r="E99" s="3">
        <v>30.0</v>
      </c>
      <c r="F99" s="3">
        <v>512.0</v>
      </c>
      <c r="G99" s="7">
        <v>37.2217675789103</v>
      </c>
      <c r="H99" s="7">
        <v>5.660673363394397</v>
      </c>
      <c r="I99" s="7">
        <v>98.7803366816972</v>
      </c>
      <c r="J99" s="7">
        <v>408.012625563645</v>
      </c>
      <c r="K99" s="7">
        <v>22.0410100450916</v>
      </c>
    </row>
    <row r="100" ht="15.75" customHeight="1">
      <c r="A100" s="3" t="s">
        <v>86</v>
      </c>
      <c r="B100" s="3" t="s">
        <v>146</v>
      </c>
      <c r="C100" s="3">
        <v>9.0</v>
      </c>
      <c r="D100" s="3">
        <v>300.0</v>
      </c>
      <c r="E100" s="3">
        <v>30.0</v>
      </c>
      <c r="F100" s="3">
        <v>512.0</v>
      </c>
      <c r="G100" s="7">
        <v>37.42315546944106</v>
      </c>
      <c r="H100" s="7">
        <v>5.73739255978707</v>
      </c>
      <c r="I100" s="7">
        <v>98.81869627989353</v>
      </c>
      <c r="J100" s="7">
        <v>409.4511104960076</v>
      </c>
      <c r="K100" s="7">
        <v>22.15608883968061</v>
      </c>
    </row>
    <row r="101" ht="15.75" customHeight="1">
      <c r="A101" s="3" t="s">
        <v>86</v>
      </c>
      <c r="B101" s="3" t="s">
        <v>146</v>
      </c>
      <c r="C101" s="3">
        <v>10.0</v>
      </c>
      <c r="D101" s="3">
        <v>300.0</v>
      </c>
      <c r="E101" s="3">
        <v>30.0</v>
      </c>
      <c r="F101" s="3">
        <v>512.0</v>
      </c>
      <c r="G101" s="7">
        <v>37.62454335997182</v>
      </c>
      <c r="H101" s="7">
        <v>5.814111756179742</v>
      </c>
      <c r="I101" s="7">
        <v>98.85705587808987</v>
      </c>
      <c r="J101" s="7">
        <v>410.8895954283702</v>
      </c>
      <c r="K101" s="7">
        <v>22.27116763426961</v>
      </c>
    </row>
    <row r="102" ht="15.75" customHeight="1">
      <c r="A102" s="3" t="s">
        <v>86</v>
      </c>
      <c r="B102" s="3" t="s">
        <v>146</v>
      </c>
      <c r="C102" s="3">
        <v>11.0</v>
      </c>
      <c r="D102" s="3">
        <v>300.0</v>
      </c>
      <c r="E102" s="3">
        <v>30.0</v>
      </c>
      <c r="F102" s="3">
        <v>512.0</v>
      </c>
      <c r="G102" s="7">
        <v>37.82593125050258</v>
      </c>
      <c r="H102" s="7">
        <v>5.890830952572414</v>
      </c>
      <c r="I102" s="7">
        <v>98.8954154762862</v>
      </c>
      <c r="J102" s="7">
        <v>412.3280803607328</v>
      </c>
      <c r="K102" s="7">
        <v>22.38624642885862</v>
      </c>
    </row>
    <row r="103" ht="15.75" customHeight="1">
      <c r="A103" s="3" t="s">
        <v>86</v>
      </c>
      <c r="B103" s="3" t="s">
        <v>146</v>
      </c>
      <c r="C103" s="3">
        <v>12.0</v>
      </c>
      <c r="D103" s="3">
        <v>300.0</v>
      </c>
      <c r="E103" s="3">
        <v>30.0</v>
      </c>
      <c r="F103" s="3">
        <v>512.0</v>
      </c>
      <c r="G103" s="7">
        <v>38.02731914103335</v>
      </c>
      <c r="H103" s="7">
        <v>5.967550148965087</v>
      </c>
      <c r="I103" s="7">
        <v>98.93377507448254</v>
      </c>
      <c r="J103" s="7">
        <v>413.7665652930954</v>
      </c>
      <c r="K103" s="7">
        <v>22.50132522344763</v>
      </c>
    </row>
    <row r="104" ht="15.75" customHeight="1">
      <c r="A104" s="3" t="s">
        <v>86</v>
      </c>
      <c r="B104" s="3" t="s">
        <v>146</v>
      </c>
      <c r="C104" s="3">
        <v>13.0</v>
      </c>
      <c r="D104" s="3">
        <v>300.0</v>
      </c>
      <c r="E104" s="3">
        <v>30.0</v>
      </c>
      <c r="F104" s="3">
        <v>512.0</v>
      </c>
      <c r="G104" s="7">
        <v>38.22870703156411</v>
      </c>
      <c r="H104" s="7">
        <v>6.044269345357759</v>
      </c>
      <c r="I104" s="7">
        <v>98.97213467267888</v>
      </c>
      <c r="J104" s="7">
        <v>415.205050225458</v>
      </c>
      <c r="K104" s="7">
        <v>22.61640401803664</v>
      </c>
    </row>
    <row r="105" ht="15.75" customHeight="1">
      <c r="A105" s="3" t="s">
        <v>86</v>
      </c>
      <c r="B105" s="3" t="s">
        <v>146</v>
      </c>
      <c r="C105" s="3">
        <v>14.0</v>
      </c>
      <c r="D105" s="3">
        <v>300.0</v>
      </c>
      <c r="E105" s="3">
        <v>30.0</v>
      </c>
      <c r="F105" s="3">
        <v>512.0</v>
      </c>
      <c r="G105" s="7">
        <v>38.45247135437608</v>
      </c>
      <c r="H105" s="7">
        <v>6.129512896905172</v>
      </c>
      <c r="I105" s="7">
        <v>99.01475644845259</v>
      </c>
      <c r="J105" s="7">
        <v>416.803366816972</v>
      </c>
      <c r="K105" s="7">
        <v>22.74426934535776</v>
      </c>
    </row>
    <row r="106" ht="15.75" customHeight="1">
      <c r="A106" s="3" t="s">
        <v>86</v>
      </c>
      <c r="B106" s="3" t="s">
        <v>146</v>
      </c>
      <c r="C106" s="3">
        <v>15.0</v>
      </c>
      <c r="D106" s="3">
        <v>300.0</v>
      </c>
      <c r="E106" s="3">
        <v>30.0</v>
      </c>
      <c r="F106" s="3">
        <v>512.0</v>
      </c>
      <c r="G106" s="7">
        <v>38.67623567718804</v>
      </c>
      <c r="H106" s="7">
        <v>6.214756448452587</v>
      </c>
      <c r="I106" s="7">
        <v>99.05737822422628</v>
      </c>
      <c r="J106" s="7">
        <v>418.401683408486</v>
      </c>
      <c r="K106" s="7">
        <v>22.87213467267888</v>
      </c>
    </row>
    <row r="107" ht="15.75" customHeight="1">
      <c r="A107" s="3" t="s">
        <v>86</v>
      </c>
      <c r="B107" s="3" t="s">
        <v>146</v>
      </c>
      <c r="C107" s="3">
        <v>16.0</v>
      </c>
      <c r="D107" s="3">
        <v>300.0</v>
      </c>
      <c r="E107" s="3">
        <v>30.0</v>
      </c>
      <c r="F107" s="3">
        <v>512.0</v>
      </c>
      <c r="G107" s="7">
        <v>39.12376432281196</v>
      </c>
      <c r="H107" s="7">
        <v>6.385243551547413</v>
      </c>
      <c r="I107" s="7">
        <v>99.1426217757737</v>
      </c>
      <c r="J107" s="7">
        <v>421.598316591514</v>
      </c>
      <c r="K107" s="7">
        <v>23.12786532732112</v>
      </c>
    </row>
    <row r="108" ht="15.75" customHeight="1">
      <c r="A108" s="3" t="s">
        <v>86</v>
      </c>
      <c r="B108" s="3" t="s">
        <v>146</v>
      </c>
      <c r="C108" s="3">
        <v>17.0</v>
      </c>
      <c r="D108" s="3">
        <v>300.0</v>
      </c>
      <c r="E108" s="3">
        <v>30.0</v>
      </c>
      <c r="F108" s="3">
        <v>512.0</v>
      </c>
      <c r="G108" s="7">
        <v>39.34752864562392</v>
      </c>
      <c r="H108" s="7">
        <v>6.470487103094827</v>
      </c>
      <c r="I108" s="7">
        <v>99.1852435515474</v>
      </c>
      <c r="J108" s="7">
        <v>423.196633183028</v>
      </c>
      <c r="K108" s="7">
        <v>23.25573065464224</v>
      </c>
    </row>
    <row r="109" ht="15.75" customHeight="1">
      <c r="A109" s="3" t="s">
        <v>86</v>
      </c>
      <c r="B109" s="3" t="s">
        <v>146</v>
      </c>
      <c r="C109" s="3">
        <v>18.0</v>
      </c>
      <c r="D109" s="3">
        <v>300.0</v>
      </c>
      <c r="E109" s="3">
        <v>30.0</v>
      </c>
      <c r="F109" s="3">
        <v>512.0</v>
      </c>
      <c r="G109" s="7">
        <v>39.57129296843588</v>
      </c>
      <c r="H109" s="7">
        <v>6.55573065464224</v>
      </c>
      <c r="I109" s="7">
        <v>99.22786532732111</v>
      </c>
      <c r="J109" s="7">
        <v>424.794949774542</v>
      </c>
      <c r="K109" s="7">
        <v>23.38359598196336</v>
      </c>
    </row>
    <row r="110" ht="15.75" customHeight="1">
      <c r="A110" s="3" t="s">
        <v>86</v>
      </c>
      <c r="B110" s="3" t="s">
        <v>146</v>
      </c>
      <c r="C110" s="3">
        <v>19.0</v>
      </c>
      <c r="D110" s="3">
        <v>300.0</v>
      </c>
      <c r="E110" s="3">
        <v>30.0</v>
      </c>
      <c r="F110" s="3">
        <v>512.0</v>
      </c>
      <c r="G110" s="7">
        <v>39.77268085896664</v>
      </c>
      <c r="H110" s="7">
        <v>6.632449851034913</v>
      </c>
      <c r="I110" s="7">
        <v>99.26622492551745</v>
      </c>
      <c r="J110" s="7">
        <v>426.2334347069046</v>
      </c>
      <c r="K110" s="7">
        <v>23.49867477655237</v>
      </c>
    </row>
    <row r="111" ht="15.75" customHeight="1">
      <c r="A111" s="3" t="s">
        <v>86</v>
      </c>
      <c r="B111" s="3" t="s">
        <v>146</v>
      </c>
      <c r="C111" s="3">
        <v>20.0</v>
      </c>
      <c r="D111" s="3">
        <v>300.0</v>
      </c>
      <c r="E111" s="3">
        <v>30.0</v>
      </c>
      <c r="F111" s="3">
        <v>512.0</v>
      </c>
      <c r="G111" s="7">
        <v>39.97406874949741</v>
      </c>
      <c r="H111" s="7">
        <v>6.709169047427586</v>
      </c>
      <c r="I111" s="7">
        <v>99.30458452371379</v>
      </c>
      <c r="J111" s="7">
        <v>427.6719196392672</v>
      </c>
      <c r="K111" s="7">
        <v>23.61375357114138</v>
      </c>
    </row>
    <row r="112" ht="15.75" customHeight="1">
      <c r="A112" s="3" t="s">
        <v>86</v>
      </c>
      <c r="B112" s="3" t="s">
        <v>146</v>
      </c>
      <c r="C112" s="3">
        <v>21.0</v>
      </c>
      <c r="D112" s="3">
        <v>300.0</v>
      </c>
      <c r="E112" s="3">
        <v>30.0</v>
      </c>
      <c r="F112" s="3">
        <v>512.0</v>
      </c>
      <c r="G112" s="7">
        <v>40.17545664002817</v>
      </c>
      <c r="H112" s="7">
        <v>6.785888243820257</v>
      </c>
      <c r="I112" s="7">
        <v>99.34294412191012</v>
      </c>
      <c r="J112" s="7">
        <v>429.1104045716298</v>
      </c>
      <c r="K112" s="7">
        <v>23.72883236573039</v>
      </c>
    </row>
    <row r="113" ht="15.75" customHeight="1">
      <c r="A113" s="3" t="s">
        <v>86</v>
      </c>
      <c r="B113" s="3" t="s">
        <v>146</v>
      </c>
      <c r="C113" s="3">
        <v>22.0</v>
      </c>
      <c r="D113" s="3">
        <v>300.0</v>
      </c>
      <c r="E113" s="3">
        <v>30.0</v>
      </c>
      <c r="F113" s="3">
        <v>512.0</v>
      </c>
      <c r="G113" s="7">
        <v>40.37684453055894</v>
      </c>
      <c r="H113" s="7">
        <v>6.86260744021293</v>
      </c>
      <c r="I113" s="7">
        <v>99.38130372010646</v>
      </c>
      <c r="J113" s="7">
        <v>430.5488895039924</v>
      </c>
      <c r="K113" s="7">
        <v>23.84391116031939</v>
      </c>
    </row>
    <row r="114" ht="15.75" customHeight="1">
      <c r="A114" s="3" t="s">
        <v>86</v>
      </c>
      <c r="B114" s="3" t="s">
        <v>146</v>
      </c>
      <c r="C114" s="3">
        <v>23.0</v>
      </c>
      <c r="D114" s="3">
        <v>300.0</v>
      </c>
      <c r="E114" s="3">
        <v>30.0</v>
      </c>
      <c r="F114" s="3">
        <v>512.0</v>
      </c>
      <c r="G114" s="7">
        <v>40.5782324210897</v>
      </c>
      <c r="H114" s="7">
        <v>6.939326636605602</v>
      </c>
      <c r="I114" s="7">
        <v>99.4196633183028</v>
      </c>
      <c r="J114" s="7">
        <v>431.987374436355</v>
      </c>
      <c r="K114" s="7">
        <v>23.9589899549084</v>
      </c>
    </row>
    <row r="115" ht="15.75" customHeight="1">
      <c r="A115" s="3" t="s">
        <v>86</v>
      </c>
      <c r="B115" s="3" t="s">
        <v>146</v>
      </c>
      <c r="C115" s="3">
        <v>24.0</v>
      </c>
      <c r="D115" s="3">
        <v>300.0</v>
      </c>
      <c r="E115" s="3">
        <v>30.0</v>
      </c>
      <c r="F115" s="3">
        <v>512.0</v>
      </c>
      <c r="G115" s="7">
        <v>40.77962031162047</v>
      </c>
      <c r="H115" s="7">
        <v>7.016045832998275</v>
      </c>
      <c r="I115" s="7">
        <v>99.45802291649913</v>
      </c>
      <c r="J115" s="7">
        <v>433.4258593687176</v>
      </c>
      <c r="K115" s="7">
        <v>24.07406874949741</v>
      </c>
    </row>
    <row r="116" ht="15.75" customHeight="1">
      <c r="A116" s="3" t="s">
        <v>86</v>
      </c>
      <c r="B116" s="3" t="s">
        <v>146</v>
      </c>
      <c r="C116" s="3">
        <v>25.0</v>
      </c>
      <c r="D116" s="3">
        <v>300.0</v>
      </c>
      <c r="E116" s="3">
        <v>30.0</v>
      </c>
      <c r="F116" s="3">
        <v>512.0</v>
      </c>
      <c r="G116" s="7">
        <v>41.00338463443243</v>
      </c>
      <c r="H116" s="7">
        <v>7.101289384545688</v>
      </c>
      <c r="I116" s="7">
        <v>99.50064469227284</v>
      </c>
      <c r="J116" s="7">
        <v>435.0241759602317</v>
      </c>
      <c r="K116" s="7">
        <v>24.20193407681853</v>
      </c>
    </row>
    <row r="117" ht="15.75" customHeight="1">
      <c r="A117" s="3" t="s">
        <v>86</v>
      </c>
      <c r="B117" s="3" t="s">
        <v>146</v>
      </c>
      <c r="C117" s="3">
        <v>26.0</v>
      </c>
      <c r="D117" s="3">
        <v>300.0</v>
      </c>
      <c r="E117" s="3">
        <v>30.0</v>
      </c>
      <c r="F117" s="3">
        <v>512.0</v>
      </c>
      <c r="G117" s="7">
        <v>41.24952538952559</v>
      </c>
      <c r="H117" s="7">
        <v>7.195057291247843</v>
      </c>
      <c r="I117" s="7">
        <v>99.54752864562391</v>
      </c>
      <c r="J117" s="7">
        <v>436.7823242108971</v>
      </c>
      <c r="K117" s="7">
        <v>24.34258593687176</v>
      </c>
    </row>
    <row r="118" ht="15.75" customHeight="1">
      <c r="A118" s="3" t="s">
        <v>86</v>
      </c>
      <c r="B118" s="3" t="s">
        <v>146</v>
      </c>
      <c r="C118" s="3">
        <v>27.0</v>
      </c>
      <c r="D118" s="3">
        <v>300.0</v>
      </c>
      <c r="E118" s="3">
        <v>30.0</v>
      </c>
      <c r="F118" s="3">
        <v>512.0</v>
      </c>
      <c r="G118" s="7">
        <v>41.51804257689994</v>
      </c>
      <c r="H118" s="7">
        <v>7.297349553104739</v>
      </c>
      <c r="I118" s="7">
        <v>99.59867477655236</v>
      </c>
      <c r="J118" s="7">
        <v>438.7003041207139</v>
      </c>
      <c r="K118" s="7">
        <v>24.49602432965711</v>
      </c>
    </row>
    <row r="119" ht="15.75" customHeight="1">
      <c r="A119" s="3" t="s">
        <v>86</v>
      </c>
      <c r="B119" s="3" t="s">
        <v>146</v>
      </c>
      <c r="C119" s="3">
        <v>28.0</v>
      </c>
      <c r="D119" s="3">
        <v>300.0</v>
      </c>
      <c r="E119" s="3">
        <v>30.0</v>
      </c>
      <c r="F119" s="3">
        <v>512.0</v>
      </c>
      <c r="G119" s="7">
        <v>41.83131262883668</v>
      </c>
      <c r="H119" s="7">
        <v>7.416690525271119</v>
      </c>
      <c r="I119" s="7">
        <v>99.65834526263555</v>
      </c>
      <c r="J119" s="7">
        <v>440.9379473488335</v>
      </c>
      <c r="K119" s="7">
        <v>24.67503578790668</v>
      </c>
    </row>
    <row r="120" ht="15.75" customHeight="1">
      <c r="A120" s="3" t="s">
        <v>86</v>
      </c>
      <c r="B120" s="3" t="s">
        <v>146</v>
      </c>
      <c r="C120" s="3">
        <v>29.0</v>
      </c>
      <c r="D120" s="3">
        <v>300.0</v>
      </c>
      <c r="E120" s="3">
        <v>30.0</v>
      </c>
      <c r="F120" s="3">
        <v>512.0</v>
      </c>
      <c r="G120" s="7">
        <v>42.21171197761702</v>
      </c>
      <c r="H120" s="7">
        <v>7.561604562901722</v>
      </c>
      <c r="I120" s="7">
        <v>99.73080228145085</v>
      </c>
      <c r="J120" s="7">
        <v>443.6550855544073</v>
      </c>
      <c r="K120" s="7">
        <v>24.89240684435258</v>
      </c>
    </row>
    <row r="121" ht="15.75" customHeight="1">
      <c r="A121" s="3" t="s">
        <v>86</v>
      </c>
      <c r="B121" s="3" t="s">
        <v>146</v>
      </c>
      <c r="C121" s="3">
        <v>30.0</v>
      </c>
      <c r="D121" s="3">
        <v>300.0</v>
      </c>
      <c r="E121" s="3">
        <v>30.0</v>
      </c>
      <c r="F121" s="3">
        <v>512.0</v>
      </c>
      <c r="G121" s="7">
        <v>42.74874635236573</v>
      </c>
      <c r="H121" s="7">
        <v>7.766189086615515</v>
      </c>
      <c r="I121" s="7">
        <v>99.83309454330775</v>
      </c>
      <c r="J121" s="7">
        <v>447.4910453740409</v>
      </c>
      <c r="K121" s="7">
        <v>25.19928362992327</v>
      </c>
    </row>
    <row r="122" ht="15.75" customHeight="1">
      <c r="A122" s="3" t="s">
        <v>86</v>
      </c>
      <c r="B122" s="3" t="s">
        <v>147</v>
      </c>
      <c r="C122" s="3">
        <v>1.0</v>
      </c>
      <c r="D122" s="3">
        <v>300.0</v>
      </c>
      <c r="E122" s="3">
        <v>30.0</v>
      </c>
      <c r="F122" s="3">
        <v>512.0</v>
      </c>
      <c r="G122" s="7">
        <v>67.40286548030691</v>
      </c>
      <c r="H122" s="7">
        <v>10.26726364173061</v>
      </c>
      <c r="I122" s="7">
        <v>99.13345272834613</v>
      </c>
      <c r="J122" s="7">
        <v>767.0107455511509</v>
      </c>
      <c r="K122" s="7">
        <v>22.43416909842285</v>
      </c>
    </row>
    <row r="123" ht="15.75" customHeight="1">
      <c r="A123" s="3" t="s">
        <v>86</v>
      </c>
      <c r="B123" s="3" t="s">
        <v>147</v>
      </c>
      <c r="C123" s="3">
        <v>2.0</v>
      </c>
      <c r="D123" s="3">
        <v>300.0</v>
      </c>
      <c r="E123" s="3">
        <v>30.0</v>
      </c>
      <c r="F123" s="3">
        <v>512.0</v>
      </c>
      <c r="G123" s="7">
        <v>68.63037262258968</v>
      </c>
      <c r="H123" s="7">
        <v>10.52299429637285</v>
      </c>
      <c r="I123" s="7">
        <v>99.18459885927457</v>
      </c>
      <c r="J123" s="7">
        <v>771.6138973347113</v>
      </c>
      <c r="K123" s="7">
        <v>22.79219201492199</v>
      </c>
    </row>
    <row r="124" ht="15.75" customHeight="1">
      <c r="A124" s="3" t="s">
        <v>86</v>
      </c>
      <c r="B124" s="3" t="s">
        <v>147</v>
      </c>
      <c r="C124" s="3">
        <v>3.0</v>
      </c>
      <c r="D124" s="3">
        <v>300.0</v>
      </c>
      <c r="E124" s="3">
        <v>30.0</v>
      </c>
      <c r="F124" s="3">
        <v>512.0</v>
      </c>
      <c r="G124" s="7">
        <v>69.49985684837328</v>
      </c>
      <c r="H124" s="7">
        <v>10.7041368434111</v>
      </c>
      <c r="I124" s="7">
        <v>99.22082736868222</v>
      </c>
      <c r="J124" s="7">
        <v>774.8744631813998</v>
      </c>
      <c r="K124" s="7">
        <v>23.04579158077554</v>
      </c>
    </row>
    <row r="125" ht="15.75" customHeight="1">
      <c r="A125" s="3" t="s">
        <v>86</v>
      </c>
      <c r="B125" s="3" t="s">
        <v>147</v>
      </c>
      <c r="C125" s="3">
        <v>4.0</v>
      </c>
      <c r="D125" s="3">
        <v>300.0</v>
      </c>
      <c r="E125" s="3">
        <v>30.0</v>
      </c>
      <c r="F125" s="3">
        <v>512.0</v>
      </c>
      <c r="G125" s="7">
        <v>70.21590268137156</v>
      </c>
      <c r="H125" s="7">
        <v>10.85331305861908</v>
      </c>
      <c r="I125" s="7">
        <v>99.25066261172381</v>
      </c>
      <c r="J125" s="7">
        <v>777.5596350551434</v>
      </c>
      <c r="K125" s="7">
        <v>23.2546382820667</v>
      </c>
    </row>
    <row r="126" ht="15.75" customHeight="1">
      <c r="A126" s="3" t="s">
        <v>86</v>
      </c>
      <c r="B126" s="3" t="s">
        <v>147</v>
      </c>
      <c r="C126" s="3">
        <v>5.0</v>
      </c>
      <c r="D126" s="3">
        <v>300.0</v>
      </c>
      <c r="E126" s="3">
        <v>30.0</v>
      </c>
      <c r="F126" s="3">
        <v>512.0</v>
      </c>
      <c r="G126" s="7">
        <v>70.82965625251295</v>
      </c>
      <c r="H126" s="7">
        <v>10.9811783859402</v>
      </c>
      <c r="I126" s="7">
        <v>99.27623567718804</v>
      </c>
      <c r="J126" s="7">
        <v>779.8612109469235</v>
      </c>
      <c r="K126" s="7">
        <v>23.43364974031627</v>
      </c>
    </row>
    <row r="127" ht="15.75" customHeight="1">
      <c r="A127" s="3" t="s">
        <v>86</v>
      </c>
      <c r="B127" s="3" t="s">
        <v>147</v>
      </c>
      <c r="C127" s="3">
        <v>6.0</v>
      </c>
      <c r="D127" s="3">
        <v>300.0</v>
      </c>
      <c r="E127" s="3">
        <v>30.0</v>
      </c>
      <c r="F127" s="3">
        <v>512.0</v>
      </c>
      <c r="G127" s="7">
        <v>71.39226369272588</v>
      </c>
      <c r="H127" s="7">
        <v>11.09838826931789</v>
      </c>
      <c r="I127" s="7">
        <v>99.29967765386358</v>
      </c>
      <c r="J127" s="7">
        <v>781.970988847722</v>
      </c>
      <c r="K127" s="7">
        <v>23.59774357704504</v>
      </c>
    </row>
    <row r="128" ht="15.75" customHeight="1">
      <c r="A128" s="3" t="s">
        <v>86</v>
      </c>
      <c r="B128" s="3" t="s">
        <v>147</v>
      </c>
      <c r="C128" s="3">
        <v>7.0</v>
      </c>
      <c r="D128" s="3">
        <v>300.0</v>
      </c>
      <c r="E128" s="3">
        <v>30.0</v>
      </c>
      <c r="F128" s="3">
        <v>512.0</v>
      </c>
      <c r="G128" s="7">
        <v>71.90372500201036</v>
      </c>
      <c r="H128" s="7">
        <v>11.20494270875216</v>
      </c>
      <c r="I128" s="7">
        <v>99.32098854175044</v>
      </c>
      <c r="J128" s="7">
        <v>783.8889687575388</v>
      </c>
      <c r="K128" s="7">
        <v>23.74691979225302</v>
      </c>
    </row>
    <row r="129" ht="15.75" customHeight="1">
      <c r="A129" s="3" t="s">
        <v>86</v>
      </c>
      <c r="B129" s="3" t="s">
        <v>147</v>
      </c>
      <c r="C129" s="3">
        <v>8.0</v>
      </c>
      <c r="D129" s="3">
        <v>300.0</v>
      </c>
      <c r="E129" s="3">
        <v>30.0</v>
      </c>
      <c r="F129" s="3">
        <v>512.0</v>
      </c>
      <c r="G129" s="7">
        <v>72.36404018036639</v>
      </c>
      <c r="H129" s="7">
        <v>11.300841704243</v>
      </c>
      <c r="I129" s="7">
        <v>99.3401683408486</v>
      </c>
      <c r="J129" s="7">
        <v>785.6151506763739</v>
      </c>
      <c r="K129" s="7">
        <v>23.8811783859402</v>
      </c>
    </row>
    <row r="130" ht="15.75" customHeight="1">
      <c r="A130" s="3" t="s">
        <v>86</v>
      </c>
      <c r="B130" s="3" t="s">
        <v>147</v>
      </c>
      <c r="C130" s="3">
        <v>9.0</v>
      </c>
      <c r="D130" s="3">
        <v>300.0</v>
      </c>
      <c r="E130" s="3">
        <v>30.0</v>
      </c>
      <c r="F130" s="3">
        <v>512.0</v>
      </c>
      <c r="G130" s="7">
        <v>72.82435535872243</v>
      </c>
      <c r="H130" s="7">
        <v>11.39674069973384</v>
      </c>
      <c r="I130" s="7">
        <v>99.35934813994676</v>
      </c>
      <c r="J130" s="7">
        <v>787.3413325952091</v>
      </c>
      <c r="K130" s="7">
        <v>24.01543697962737</v>
      </c>
    </row>
    <row r="131" ht="15.75" customHeight="1">
      <c r="A131" s="3" t="s">
        <v>86</v>
      </c>
      <c r="B131" s="3" t="s">
        <v>147</v>
      </c>
      <c r="C131" s="3">
        <v>10.0</v>
      </c>
      <c r="D131" s="3">
        <v>300.0</v>
      </c>
      <c r="E131" s="3">
        <v>30.0</v>
      </c>
      <c r="F131" s="3">
        <v>512.0</v>
      </c>
      <c r="G131" s="7">
        <v>73.28467053707845</v>
      </c>
      <c r="H131" s="7">
        <v>11.49263969522468</v>
      </c>
      <c r="I131" s="7">
        <v>99.37852793904493</v>
      </c>
      <c r="J131" s="7">
        <v>789.0675145140442</v>
      </c>
      <c r="K131" s="7">
        <v>24.14969557331455</v>
      </c>
    </row>
    <row r="132" ht="15.75" customHeight="1">
      <c r="A132" s="3" t="s">
        <v>86</v>
      </c>
      <c r="B132" s="3" t="s">
        <v>147</v>
      </c>
      <c r="C132" s="3">
        <v>11.0</v>
      </c>
      <c r="D132" s="3">
        <v>300.0</v>
      </c>
      <c r="E132" s="3">
        <v>30.0</v>
      </c>
      <c r="F132" s="3">
        <v>512.0</v>
      </c>
      <c r="G132" s="7">
        <v>73.7449857154345</v>
      </c>
      <c r="H132" s="7">
        <v>11.58853869071552</v>
      </c>
      <c r="I132" s="7">
        <v>99.3977077381431</v>
      </c>
      <c r="J132" s="7">
        <v>790.7936964328793</v>
      </c>
      <c r="K132" s="7">
        <v>24.28395416700172</v>
      </c>
    </row>
    <row r="133" ht="15.75" customHeight="1">
      <c r="A133" s="3" t="s">
        <v>86</v>
      </c>
      <c r="B133" s="3" t="s">
        <v>147</v>
      </c>
      <c r="C133" s="3">
        <v>12.0</v>
      </c>
      <c r="D133" s="3">
        <v>300.0</v>
      </c>
      <c r="E133" s="3">
        <v>30.0</v>
      </c>
      <c r="F133" s="3">
        <v>512.0</v>
      </c>
      <c r="G133" s="7">
        <v>74.20530089379052</v>
      </c>
      <c r="H133" s="7">
        <v>11.68443768620636</v>
      </c>
      <c r="I133" s="7">
        <v>99.41688753724127</v>
      </c>
      <c r="J133" s="7">
        <v>792.5198783517144</v>
      </c>
      <c r="K133" s="7">
        <v>24.4182127606889</v>
      </c>
    </row>
    <row r="134" ht="15.75" customHeight="1">
      <c r="A134" s="3" t="s">
        <v>86</v>
      </c>
      <c r="B134" s="3" t="s">
        <v>147</v>
      </c>
      <c r="C134" s="3">
        <v>13.0</v>
      </c>
      <c r="D134" s="3">
        <v>300.0</v>
      </c>
      <c r="E134" s="3">
        <v>30.0</v>
      </c>
      <c r="F134" s="3">
        <v>512.0</v>
      </c>
      <c r="G134" s="7">
        <v>74.66561607214656</v>
      </c>
      <c r="H134" s="7">
        <v>11.7803366816972</v>
      </c>
      <c r="I134" s="7">
        <v>99.43606733633943</v>
      </c>
      <c r="J134" s="7">
        <v>794.2460602705496</v>
      </c>
      <c r="K134" s="7">
        <v>24.55247135437608</v>
      </c>
    </row>
    <row r="135" ht="15.75" customHeight="1">
      <c r="A135" s="3" t="s">
        <v>86</v>
      </c>
      <c r="B135" s="3" t="s">
        <v>147</v>
      </c>
      <c r="C135" s="3">
        <v>14.0</v>
      </c>
      <c r="D135" s="3">
        <v>300.0</v>
      </c>
      <c r="E135" s="3">
        <v>30.0</v>
      </c>
      <c r="F135" s="3">
        <v>512.0</v>
      </c>
      <c r="G135" s="7">
        <v>75.17707738143103</v>
      </c>
      <c r="H135" s="7">
        <v>11.88689112113147</v>
      </c>
      <c r="I135" s="7">
        <v>99.45737822422629</v>
      </c>
      <c r="J135" s="7">
        <v>796.1640401803664</v>
      </c>
      <c r="K135" s="7">
        <v>24.70164756958405</v>
      </c>
    </row>
    <row r="136" ht="15.75" customHeight="1">
      <c r="A136" s="3" t="s">
        <v>86</v>
      </c>
      <c r="B136" s="3" t="s">
        <v>147</v>
      </c>
      <c r="C136" s="3">
        <v>15.0</v>
      </c>
      <c r="D136" s="3">
        <v>300.0</v>
      </c>
      <c r="E136" s="3">
        <v>30.0</v>
      </c>
      <c r="F136" s="3">
        <v>512.0</v>
      </c>
      <c r="G136" s="7">
        <v>75.68853869071552</v>
      </c>
      <c r="H136" s="7">
        <v>11.99344556056573</v>
      </c>
      <c r="I136" s="7">
        <v>99.47868911211314</v>
      </c>
      <c r="J136" s="7">
        <v>798.0820200901832</v>
      </c>
      <c r="K136" s="7">
        <v>24.85082378479203</v>
      </c>
    </row>
    <row r="137" ht="15.75" customHeight="1">
      <c r="A137" s="3" t="s">
        <v>86</v>
      </c>
      <c r="B137" s="3" t="s">
        <v>147</v>
      </c>
      <c r="C137" s="3">
        <v>16.0</v>
      </c>
      <c r="D137" s="3">
        <v>300.0</v>
      </c>
      <c r="E137" s="3">
        <v>30.0</v>
      </c>
      <c r="F137" s="3">
        <v>512.0</v>
      </c>
      <c r="G137" s="7">
        <v>76.71146130928449</v>
      </c>
      <c r="H137" s="7">
        <v>12.20655443943427</v>
      </c>
      <c r="I137" s="7">
        <v>99.52131088788686</v>
      </c>
      <c r="J137" s="7">
        <v>801.9179799098168</v>
      </c>
      <c r="K137" s="7">
        <v>25.14917621520797</v>
      </c>
    </row>
    <row r="138" ht="15.75" customHeight="1">
      <c r="A138" s="3" t="s">
        <v>86</v>
      </c>
      <c r="B138" s="3" t="s">
        <v>147</v>
      </c>
      <c r="C138" s="3">
        <v>17.0</v>
      </c>
      <c r="D138" s="3">
        <v>300.0</v>
      </c>
      <c r="E138" s="3">
        <v>30.0</v>
      </c>
      <c r="F138" s="3">
        <v>512.0</v>
      </c>
      <c r="G138" s="7">
        <v>77.22292261856897</v>
      </c>
      <c r="H138" s="7">
        <v>12.31310887886853</v>
      </c>
      <c r="I138" s="7">
        <v>99.54262177577371</v>
      </c>
      <c r="J138" s="7">
        <v>803.8359598196337</v>
      </c>
      <c r="K138" s="7">
        <v>25.29835243041595</v>
      </c>
    </row>
    <row r="139" ht="15.75" customHeight="1">
      <c r="A139" s="3" t="s">
        <v>86</v>
      </c>
      <c r="B139" s="3" t="s">
        <v>147</v>
      </c>
      <c r="C139" s="3">
        <v>18.0</v>
      </c>
      <c r="D139" s="3">
        <v>300.0</v>
      </c>
      <c r="E139" s="3">
        <v>30.0</v>
      </c>
      <c r="F139" s="3">
        <v>512.0</v>
      </c>
      <c r="G139" s="7">
        <v>77.73438392785344</v>
      </c>
      <c r="H139" s="7">
        <v>12.4196633183028</v>
      </c>
      <c r="I139" s="7">
        <v>99.56393266366057</v>
      </c>
      <c r="J139" s="7">
        <v>805.7539397294504</v>
      </c>
      <c r="K139" s="7">
        <v>25.44752864562392</v>
      </c>
    </row>
    <row r="140" ht="15.75" customHeight="1">
      <c r="A140" s="3" t="s">
        <v>86</v>
      </c>
      <c r="B140" s="3" t="s">
        <v>147</v>
      </c>
      <c r="C140" s="3">
        <v>19.0</v>
      </c>
      <c r="D140" s="3">
        <v>300.0</v>
      </c>
      <c r="E140" s="3">
        <v>30.0</v>
      </c>
      <c r="F140" s="3">
        <v>512.0</v>
      </c>
      <c r="G140" s="7">
        <v>78.19469910620948</v>
      </c>
      <c r="H140" s="7">
        <v>12.51556231379364</v>
      </c>
      <c r="I140" s="7">
        <v>99.58311246275873</v>
      </c>
      <c r="J140" s="7">
        <v>807.4801216482856</v>
      </c>
      <c r="K140" s="7">
        <v>25.5817872393111</v>
      </c>
    </row>
    <row r="141" ht="15.75" customHeight="1">
      <c r="A141" s="3" t="s">
        <v>86</v>
      </c>
      <c r="B141" s="3" t="s">
        <v>147</v>
      </c>
      <c r="C141" s="3">
        <v>20.0</v>
      </c>
      <c r="D141" s="3">
        <v>300.0</v>
      </c>
      <c r="E141" s="3">
        <v>30.0</v>
      </c>
      <c r="F141" s="3">
        <v>512.0</v>
      </c>
      <c r="G141" s="7">
        <v>78.65501428456551</v>
      </c>
      <c r="H141" s="7">
        <v>12.61146130928448</v>
      </c>
      <c r="I141" s="7">
        <v>99.6022922618569</v>
      </c>
      <c r="J141" s="7">
        <v>809.2063035671207</v>
      </c>
      <c r="K141" s="7">
        <v>25.71604583299828</v>
      </c>
    </row>
    <row r="142" ht="15.75" customHeight="1">
      <c r="A142" s="3" t="s">
        <v>86</v>
      </c>
      <c r="B142" s="3" t="s">
        <v>147</v>
      </c>
      <c r="C142" s="3">
        <v>21.0</v>
      </c>
      <c r="D142" s="3">
        <v>300.0</v>
      </c>
      <c r="E142" s="3">
        <v>30.0</v>
      </c>
      <c r="F142" s="3">
        <v>512.0</v>
      </c>
      <c r="G142" s="7">
        <v>79.11532946292155</v>
      </c>
      <c r="H142" s="7">
        <v>12.70736030477532</v>
      </c>
      <c r="I142" s="7">
        <v>99.62147206095507</v>
      </c>
      <c r="J142" s="7">
        <v>810.9324854859558</v>
      </c>
      <c r="K142" s="7">
        <v>25.85030442668545</v>
      </c>
    </row>
    <row r="143" ht="15.75" customHeight="1">
      <c r="A143" s="3" t="s">
        <v>86</v>
      </c>
      <c r="B143" s="3" t="s">
        <v>147</v>
      </c>
      <c r="C143" s="3">
        <v>22.0</v>
      </c>
      <c r="D143" s="3">
        <v>300.0</v>
      </c>
      <c r="E143" s="3">
        <v>30.0</v>
      </c>
      <c r="F143" s="3">
        <v>512.0</v>
      </c>
      <c r="G143" s="7">
        <v>79.57564464127758</v>
      </c>
      <c r="H143" s="7">
        <v>12.80325930026616</v>
      </c>
      <c r="I143" s="7">
        <v>99.64065186005324</v>
      </c>
      <c r="J143" s="7">
        <v>812.6586674047909</v>
      </c>
      <c r="K143" s="7">
        <v>25.98456302037263</v>
      </c>
    </row>
    <row r="144" ht="15.75" customHeight="1">
      <c r="A144" s="3" t="s">
        <v>86</v>
      </c>
      <c r="B144" s="3" t="s">
        <v>147</v>
      </c>
      <c r="C144" s="3">
        <v>23.0</v>
      </c>
      <c r="D144" s="3">
        <v>300.0</v>
      </c>
      <c r="E144" s="3">
        <v>30.0</v>
      </c>
      <c r="F144" s="3">
        <v>512.0</v>
      </c>
      <c r="G144" s="7">
        <v>80.03595981963362</v>
      </c>
      <c r="H144" s="7">
        <v>12.899158295757</v>
      </c>
      <c r="I144" s="7">
        <v>99.6598316591514</v>
      </c>
      <c r="J144" s="7">
        <v>814.3848493236261</v>
      </c>
      <c r="K144" s="7">
        <v>26.1188216140598</v>
      </c>
    </row>
    <row r="145" ht="15.75" customHeight="1">
      <c r="A145" s="3" t="s">
        <v>86</v>
      </c>
      <c r="B145" s="3" t="s">
        <v>147</v>
      </c>
      <c r="C145" s="3">
        <v>24.0</v>
      </c>
      <c r="D145" s="3">
        <v>300.0</v>
      </c>
      <c r="E145" s="3">
        <v>30.0</v>
      </c>
      <c r="F145" s="3">
        <v>512.0</v>
      </c>
      <c r="G145" s="7">
        <v>80.49627499798964</v>
      </c>
      <c r="H145" s="7">
        <v>12.99505729124784</v>
      </c>
      <c r="I145" s="7">
        <v>99.67901145824956</v>
      </c>
      <c r="J145" s="7">
        <v>816.1110312424612</v>
      </c>
      <c r="K145" s="7">
        <v>26.25308020774698</v>
      </c>
    </row>
    <row r="146" ht="15.75" customHeight="1">
      <c r="A146" s="3" t="s">
        <v>86</v>
      </c>
      <c r="B146" s="3" t="s">
        <v>147</v>
      </c>
      <c r="C146" s="3">
        <v>25.0</v>
      </c>
      <c r="D146" s="3">
        <v>300.0</v>
      </c>
      <c r="E146" s="3">
        <v>30.0</v>
      </c>
      <c r="F146" s="3">
        <v>512.0</v>
      </c>
      <c r="G146" s="7">
        <v>81.00773630727413</v>
      </c>
      <c r="H146" s="7">
        <v>13.10161173068211</v>
      </c>
      <c r="I146" s="7">
        <v>99.70032234613642</v>
      </c>
      <c r="J146" s="7">
        <v>818.029011152278</v>
      </c>
      <c r="K146" s="7">
        <v>26.40225642295496</v>
      </c>
    </row>
    <row r="147" ht="15.75" customHeight="1">
      <c r="A147" s="3" t="s">
        <v>86</v>
      </c>
      <c r="B147" s="3" t="s">
        <v>147</v>
      </c>
      <c r="C147" s="3">
        <v>26.0</v>
      </c>
      <c r="D147" s="3">
        <v>300.0</v>
      </c>
      <c r="E147" s="3">
        <v>30.0</v>
      </c>
      <c r="F147" s="3">
        <v>512.0</v>
      </c>
      <c r="G147" s="7">
        <v>81.57034374748706</v>
      </c>
      <c r="H147" s="7">
        <v>13.2188216140598</v>
      </c>
      <c r="I147" s="7">
        <v>99.72376432281196</v>
      </c>
      <c r="J147" s="7">
        <v>820.1387890530765</v>
      </c>
      <c r="K147" s="7">
        <v>26.56635025968373</v>
      </c>
    </row>
    <row r="148" ht="15.75" customHeight="1">
      <c r="A148" s="3" t="s">
        <v>86</v>
      </c>
      <c r="B148" s="3" t="s">
        <v>147</v>
      </c>
      <c r="C148" s="3">
        <v>27.0</v>
      </c>
      <c r="D148" s="3">
        <v>300.0</v>
      </c>
      <c r="E148" s="3">
        <v>30.0</v>
      </c>
      <c r="F148" s="3">
        <v>512.0</v>
      </c>
      <c r="G148" s="7">
        <v>82.18409731862845</v>
      </c>
      <c r="H148" s="7">
        <v>13.34668694138092</v>
      </c>
      <c r="I148" s="7">
        <v>99.74933738827619</v>
      </c>
      <c r="J148" s="7">
        <v>822.4403649448566</v>
      </c>
      <c r="K148" s="7">
        <v>26.7453617179333</v>
      </c>
    </row>
    <row r="149" ht="15.75" customHeight="1">
      <c r="A149" s="3" t="s">
        <v>86</v>
      </c>
      <c r="B149" s="3" t="s">
        <v>147</v>
      </c>
      <c r="C149" s="3">
        <v>28.0</v>
      </c>
      <c r="D149" s="3">
        <v>300.0</v>
      </c>
      <c r="E149" s="3">
        <v>30.0</v>
      </c>
      <c r="F149" s="3">
        <v>512.0</v>
      </c>
      <c r="G149" s="7">
        <v>82.90014315162672</v>
      </c>
      <c r="H149" s="7">
        <v>13.4958631565889</v>
      </c>
      <c r="I149" s="7">
        <v>99.77917263131778</v>
      </c>
      <c r="J149" s="7">
        <v>825.1255368186002</v>
      </c>
      <c r="K149" s="7">
        <v>26.95420841922446</v>
      </c>
    </row>
    <row r="150" ht="15.75" customHeight="1">
      <c r="A150" s="3" t="s">
        <v>86</v>
      </c>
      <c r="B150" s="3" t="s">
        <v>147</v>
      </c>
      <c r="C150" s="3">
        <v>29.0</v>
      </c>
      <c r="D150" s="3">
        <v>300.0</v>
      </c>
      <c r="E150" s="3">
        <v>30.0</v>
      </c>
      <c r="F150" s="3">
        <v>512.0</v>
      </c>
      <c r="G150" s="7">
        <v>83.76962737741033</v>
      </c>
      <c r="H150" s="7">
        <v>13.67700570362715</v>
      </c>
      <c r="I150" s="7">
        <v>99.81540114072543</v>
      </c>
      <c r="J150" s="7">
        <v>828.3861026652887</v>
      </c>
      <c r="K150" s="7">
        <v>27.20780798507801</v>
      </c>
    </row>
    <row r="151" ht="15.75" customHeight="1">
      <c r="A151" s="3" t="s">
        <v>86</v>
      </c>
      <c r="B151" s="3" t="s">
        <v>147</v>
      </c>
      <c r="C151" s="3">
        <v>30.0</v>
      </c>
      <c r="D151" s="3">
        <v>300.0</v>
      </c>
      <c r="E151" s="3">
        <v>30.0</v>
      </c>
      <c r="F151" s="3">
        <v>512.0</v>
      </c>
      <c r="G151" s="7">
        <v>84.99713451969309</v>
      </c>
      <c r="H151" s="7">
        <v>13.93273635826939</v>
      </c>
      <c r="I151" s="7">
        <v>99.86654727165387</v>
      </c>
      <c r="J151" s="7">
        <v>832.9892544488491</v>
      </c>
      <c r="K151" s="7">
        <v>27.56583090157715</v>
      </c>
    </row>
    <row r="152" ht="15.75" customHeight="1">
      <c r="A152" s="3" t="s">
        <v>101</v>
      </c>
      <c r="B152" s="3" t="s">
        <v>148</v>
      </c>
      <c r="C152" s="3">
        <v>1.0</v>
      </c>
      <c r="D152" s="3">
        <v>300.0</v>
      </c>
      <c r="E152" s="3">
        <v>30.0</v>
      </c>
      <c r="F152" s="3">
        <v>512.0</v>
      </c>
      <c r="G152" s="7">
        <v>17.50071637007673</v>
      </c>
      <c r="H152" s="7">
        <v>2.650179092519182</v>
      </c>
      <c r="I152" s="7">
        <v>96.33381091338448</v>
      </c>
      <c r="J152" s="7">
        <v>241.6726364173061</v>
      </c>
      <c r="K152" s="7">
        <v>25.06762182676897</v>
      </c>
    </row>
    <row r="153" ht="15.75" customHeight="1">
      <c r="A153" s="3" t="s">
        <v>101</v>
      </c>
      <c r="B153" s="3" t="s">
        <v>148</v>
      </c>
      <c r="C153" s="3">
        <v>2.0</v>
      </c>
      <c r="D153" s="3">
        <v>300.0</v>
      </c>
      <c r="E153" s="3">
        <v>30.0</v>
      </c>
      <c r="F153" s="3">
        <v>512.0</v>
      </c>
      <c r="G153" s="7">
        <v>17.80759315564742</v>
      </c>
      <c r="H153" s="7">
        <v>2.726898288911854</v>
      </c>
      <c r="I153" s="7">
        <v>96.53839543709827</v>
      </c>
      <c r="J153" s="7">
        <v>244.2299429637285</v>
      </c>
      <c r="K153" s="7">
        <v>25.47679087419656</v>
      </c>
    </row>
    <row r="154" ht="15.75" customHeight="1">
      <c r="A154" s="3" t="s">
        <v>101</v>
      </c>
      <c r="B154" s="3" t="s">
        <v>148</v>
      </c>
      <c r="C154" s="3">
        <v>3.0</v>
      </c>
      <c r="D154" s="3">
        <v>300.0</v>
      </c>
      <c r="E154" s="3">
        <v>30.0</v>
      </c>
      <c r="F154" s="3">
        <v>512.0</v>
      </c>
      <c r="G154" s="7">
        <v>18.02496421209332</v>
      </c>
      <c r="H154" s="7">
        <v>2.781241053023331</v>
      </c>
      <c r="I154" s="7">
        <v>96.68330947472887</v>
      </c>
      <c r="J154" s="7">
        <v>246.041368434111</v>
      </c>
      <c r="K154" s="7">
        <v>25.76661894945776</v>
      </c>
    </row>
    <row r="155" ht="15.75" customHeight="1">
      <c r="A155" s="3" t="s">
        <v>101</v>
      </c>
      <c r="B155" s="3" t="s">
        <v>148</v>
      </c>
      <c r="C155" s="3">
        <v>4.0</v>
      </c>
      <c r="D155" s="3">
        <v>300.0</v>
      </c>
      <c r="E155" s="3">
        <v>30.0</v>
      </c>
      <c r="F155" s="3">
        <v>512.0</v>
      </c>
      <c r="G155" s="7">
        <v>18.20397567034289</v>
      </c>
      <c r="H155" s="7">
        <v>2.825993917585723</v>
      </c>
      <c r="I155" s="7">
        <v>96.80265044689526</v>
      </c>
      <c r="J155" s="7">
        <v>247.5331305861908</v>
      </c>
      <c r="K155" s="7">
        <v>26.00530089379052</v>
      </c>
    </row>
    <row r="156" ht="15.75" customHeight="1">
      <c r="A156" s="3" t="s">
        <v>101</v>
      </c>
      <c r="B156" s="3" t="s">
        <v>148</v>
      </c>
      <c r="C156" s="3">
        <v>5.0</v>
      </c>
      <c r="D156" s="3">
        <v>300.0</v>
      </c>
      <c r="E156" s="3">
        <v>30.0</v>
      </c>
      <c r="F156" s="3">
        <v>512.0</v>
      </c>
      <c r="G156" s="7">
        <v>18.35741406312824</v>
      </c>
      <c r="H156" s="7">
        <v>2.864353515782059</v>
      </c>
      <c r="I156" s="7">
        <v>96.90494270875216</v>
      </c>
      <c r="J156" s="7">
        <v>248.811783859402</v>
      </c>
      <c r="K156" s="7">
        <v>26.20988541750431</v>
      </c>
    </row>
    <row r="157" ht="15.75" customHeight="1">
      <c r="A157" s="3" t="s">
        <v>101</v>
      </c>
      <c r="B157" s="3" t="s">
        <v>148</v>
      </c>
      <c r="C157" s="3">
        <v>6.0</v>
      </c>
      <c r="D157" s="3">
        <v>300.0</v>
      </c>
      <c r="E157" s="3">
        <v>30.0</v>
      </c>
      <c r="F157" s="3">
        <v>512.0</v>
      </c>
      <c r="G157" s="7">
        <v>18.49806592318147</v>
      </c>
      <c r="H157" s="7">
        <v>2.899516480795367</v>
      </c>
      <c r="I157" s="7">
        <v>96.99871061545431</v>
      </c>
      <c r="J157" s="7">
        <v>249.9838826931789</v>
      </c>
      <c r="K157" s="7">
        <v>26.39742123090862</v>
      </c>
    </row>
    <row r="158" ht="15.75" customHeight="1">
      <c r="A158" s="3" t="s">
        <v>101</v>
      </c>
      <c r="B158" s="3" t="s">
        <v>148</v>
      </c>
      <c r="C158" s="3">
        <v>7.0</v>
      </c>
      <c r="D158" s="3">
        <v>300.0</v>
      </c>
      <c r="E158" s="3">
        <v>30.0</v>
      </c>
      <c r="F158" s="3">
        <v>512.0</v>
      </c>
      <c r="G158" s="7">
        <v>18.62593125050259</v>
      </c>
      <c r="H158" s="7">
        <v>2.931482812625647</v>
      </c>
      <c r="I158" s="7">
        <v>97.08395416700172</v>
      </c>
      <c r="J158" s="7">
        <v>251.0494270875216</v>
      </c>
      <c r="K158" s="7">
        <v>26.56790833400345</v>
      </c>
    </row>
    <row r="159" ht="15.75" customHeight="1">
      <c r="A159" s="3" t="s">
        <v>101</v>
      </c>
      <c r="B159" s="3" t="s">
        <v>148</v>
      </c>
      <c r="C159" s="3">
        <v>8.0</v>
      </c>
      <c r="D159" s="3">
        <v>300.0</v>
      </c>
      <c r="E159" s="3">
        <v>30.0</v>
      </c>
      <c r="F159" s="3">
        <v>512.0</v>
      </c>
      <c r="G159" s="7">
        <v>18.7410100450916</v>
      </c>
      <c r="H159" s="7">
        <v>2.960252511272899</v>
      </c>
      <c r="I159" s="7">
        <v>97.1606733633944</v>
      </c>
      <c r="J159" s="7">
        <v>252.00841704243</v>
      </c>
      <c r="K159" s="7">
        <v>26.72134672678879</v>
      </c>
    </row>
    <row r="160" ht="15.75" customHeight="1">
      <c r="A160" s="3" t="s">
        <v>101</v>
      </c>
      <c r="B160" s="3" t="s">
        <v>148</v>
      </c>
      <c r="C160" s="3">
        <v>9.0</v>
      </c>
      <c r="D160" s="3">
        <v>300.0</v>
      </c>
      <c r="E160" s="3">
        <v>30.0</v>
      </c>
      <c r="F160" s="3">
        <v>512.0</v>
      </c>
      <c r="G160" s="7">
        <v>18.85608883968061</v>
      </c>
      <c r="H160" s="7">
        <v>2.989022209920151</v>
      </c>
      <c r="I160" s="7">
        <v>97.23739255978707</v>
      </c>
      <c r="J160" s="7">
        <v>252.9674069973384</v>
      </c>
      <c r="K160" s="7">
        <v>26.87478511957414</v>
      </c>
    </row>
    <row r="161" ht="15.75" customHeight="1">
      <c r="A161" s="3" t="s">
        <v>101</v>
      </c>
      <c r="B161" s="3" t="s">
        <v>148</v>
      </c>
      <c r="C161" s="3">
        <v>10.0</v>
      </c>
      <c r="D161" s="3">
        <v>300.0</v>
      </c>
      <c r="E161" s="3">
        <v>30.0</v>
      </c>
      <c r="F161" s="3">
        <v>512.0</v>
      </c>
      <c r="G161" s="7">
        <v>18.97116763426961</v>
      </c>
      <c r="H161" s="7">
        <v>3.017791908567403</v>
      </c>
      <c r="I161" s="7">
        <v>97.31411175617974</v>
      </c>
      <c r="J161" s="7">
        <v>253.9263969522468</v>
      </c>
      <c r="K161" s="7">
        <v>27.02822351235949</v>
      </c>
    </row>
    <row r="162" ht="15.75" customHeight="1">
      <c r="A162" s="3" t="s">
        <v>101</v>
      </c>
      <c r="B162" s="3" t="s">
        <v>148</v>
      </c>
      <c r="C162" s="3">
        <v>11.0</v>
      </c>
      <c r="D162" s="3">
        <v>300.0</v>
      </c>
      <c r="E162" s="3">
        <v>30.0</v>
      </c>
      <c r="F162" s="3">
        <v>512.0</v>
      </c>
      <c r="G162" s="7">
        <v>19.08624642885862</v>
      </c>
      <c r="H162" s="7">
        <v>3.046561607214656</v>
      </c>
      <c r="I162" s="7">
        <v>97.39083095257241</v>
      </c>
      <c r="J162" s="7">
        <v>254.8853869071552</v>
      </c>
      <c r="K162" s="7">
        <v>27.18166190514483</v>
      </c>
    </row>
    <row r="163" ht="15.75" customHeight="1">
      <c r="A163" s="3" t="s">
        <v>101</v>
      </c>
      <c r="B163" s="3" t="s">
        <v>148</v>
      </c>
      <c r="C163" s="3">
        <v>12.0</v>
      </c>
      <c r="D163" s="3">
        <v>300.0</v>
      </c>
      <c r="E163" s="3">
        <v>30.0</v>
      </c>
      <c r="F163" s="3">
        <v>512.0</v>
      </c>
      <c r="G163" s="7">
        <v>19.20132522344763</v>
      </c>
      <c r="H163" s="7">
        <v>3.075331305861908</v>
      </c>
      <c r="I163" s="7">
        <v>97.46755014896509</v>
      </c>
      <c r="J163" s="7">
        <v>255.8443768620636</v>
      </c>
      <c r="K163" s="7">
        <v>27.33510029793017</v>
      </c>
    </row>
    <row r="164" ht="15.75" customHeight="1">
      <c r="A164" s="3" t="s">
        <v>101</v>
      </c>
      <c r="B164" s="3" t="s">
        <v>148</v>
      </c>
      <c r="C164" s="3">
        <v>13.0</v>
      </c>
      <c r="D164" s="3">
        <v>300.0</v>
      </c>
      <c r="E164" s="3">
        <v>30.0</v>
      </c>
      <c r="F164" s="3">
        <v>512.0</v>
      </c>
      <c r="G164" s="7">
        <v>19.31640401803664</v>
      </c>
      <c r="H164" s="7">
        <v>3.10410100450916</v>
      </c>
      <c r="I164" s="7">
        <v>97.54426934535776</v>
      </c>
      <c r="J164" s="7">
        <v>256.803366816972</v>
      </c>
      <c r="K164" s="7">
        <v>27.48853869071552</v>
      </c>
    </row>
    <row r="165" ht="15.75" customHeight="1">
      <c r="A165" s="3" t="s">
        <v>101</v>
      </c>
      <c r="B165" s="3" t="s">
        <v>148</v>
      </c>
      <c r="C165" s="3">
        <v>14.0</v>
      </c>
      <c r="D165" s="3">
        <v>300.0</v>
      </c>
      <c r="E165" s="3">
        <v>30.0</v>
      </c>
      <c r="F165" s="3">
        <v>512.0</v>
      </c>
      <c r="G165" s="7">
        <v>19.44426934535776</v>
      </c>
      <c r="H165" s="7">
        <v>3.13606733633944</v>
      </c>
      <c r="I165" s="7">
        <v>97.62951289690517</v>
      </c>
      <c r="J165" s="7">
        <v>257.8689112113146</v>
      </c>
      <c r="K165" s="7">
        <v>27.65902579381035</v>
      </c>
    </row>
    <row r="166" ht="15.75" customHeight="1">
      <c r="A166" s="3" t="s">
        <v>101</v>
      </c>
      <c r="B166" s="3" t="s">
        <v>148</v>
      </c>
      <c r="C166" s="3">
        <v>15.0</v>
      </c>
      <c r="D166" s="3">
        <v>300.0</v>
      </c>
      <c r="E166" s="3">
        <v>30.0</v>
      </c>
      <c r="F166" s="3">
        <v>512.0</v>
      </c>
      <c r="G166" s="7">
        <v>19.57213467267888</v>
      </c>
      <c r="H166" s="7">
        <v>3.16803366816972</v>
      </c>
      <c r="I166" s="7">
        <v>97.71475644845259</v>
      </c>
      <c r="J166" s="7">
        <v>258.9344556056573</v>
      </c>
      <c r="K166" s="7">
        <v>27.82951289690517</v>
      </c>
    </row>
    <row r="167" ht="15.75" customHeight="1">
      <c r="A167" s="3" t="s">
        <v>101</v>
      </c>
      <c r="B167" s="3" t="s">
        <v>148</v>
      </c>
      <c r="C167" s="3">
        <v>16.0</v>
      </c>
      <c r="D167" s="3">
        <v>300.0</v>
      </c>
      <c r="E167" s="3">
        <v>30.0</v>
      </c>
      <c r="F167" s="3">
        <v>512.0</v>
      </c>
      <c r="G167" s="7">
        <v>19.82786532732112</v>
      </c>
      <c r="H167" s="7">
        <v>3.23196633183028</v>
      </c>
      <c r="I167" s="7">
        <v>97.8852435515474</v>
      </c>
      <c r="J167" s="7">
        <v>261.0655443943427</v>
      </c>
      <c r="K167" s="7">
        <v>28.17048710309483</v>
      </c>
    </row>
    <row r="168" ht="15.75" customHeight="1">
      <c r="A168" s="3" t="s">
        <v>101</v>
      </c>
      <c r="B168" s="3" t="s">
        <v>148</v>
      </c>
      <c r="C168" s="3">
        <v>17.0</v>
      </c>
      <c r="D168" s="3">
        <v>300.0</v>
      </c>
      <c r="E168" s="3">
        <v>30.0</v>
      </c>
      <c r="F168" s="3">
        <v>512.0</v>
      </c>
      <c r="G168" s="7">
        <v>19.95573065464224</v>
      </c>
      <c r="H168" s="7">
        <v>3.26393266366056</v>
      </c>
      <c r="I168" s="7">
        <v>97.97048710309483</v>
      </c>
      <c r="J168" s="7">
        <v>262.1310887886854</v>
      </c>
      <c r="K168" s="7">
        <v>28.34097420618965</v>
      </c>
    </row>
    <row r="169" ht="15.75" customHeight="1">
      <c r="A169" s="3" t="s">
        <v>101</v>
      </c>
      <c r="B169" s="3" t="s">
        <v>148</v>
      </c>
      <c r="C169" s="3">
        <v>18.0</v>
      </c>
      <c r="D169" s="3">
        <v>300.0</v>
      </c>
      <c r="E169" s="3">
        <v>30.0</v>
      </c>
      <c r="F169" s="3">
        <v>512.0</v>
      </c>
      <c r="G169" s="7">
        <v>20.08359598196336</v>
      </c>
      <c r="H169" s="7">
        <v>3.295898995490841</v>
      </c>
      <c r="I169" s="7">
        <v>98.05573065464223</v>
      </c>
      <c r="J169" s="7">
        <v>263.196633183028</v>
      </c>
      <c r="K169" s="7">
        <v>28.51146130928448</v>
      </c>
    </row>
    <row r="170" ht="15.75" customHeight="1">
      <c r="A170" s="3" t="s">
        <v>101</v>
      </c>
      <c r="B170" s="3" t="s">
        <v>148</v>
      </c>
      <c r="C170" s="3">
        <v>19.0</v>
      </c>
      <c r="D170" s="3">
        <v>300.0</v>
      </c>
      <c r="E170" s="3">
        <v>30.0</v>
      </c>
      <c r="F170" s="3">
        <v>512.0</v>
      </c>
      <c r="G170" s="7">
        <v>20.19867477655237</v>
      </c>
      <c r="H170" s="7">
        <v>3.324668694138093</v>
      </c>
      <c r="I170" s="7">
        <v>98.1324498510349</v>
      </c>
      <c r="J170" s="7">
        <v>264.1556231379364</v>
      </c>
      <c r="K170" s="7">
        <v>28.66489970206983</v>
      </c>
    </row>
    <row r="171" ht="15.75" customHeight="1">
      <c r="A171" s="3" t="s">
        <v>101</v>
      </c>
      <c r="B171" s="3" t="s">
        <v>148</v>
      </c>
      <c r="C171" s="3">
        <v>20.0</v>
      </c>
      <c r="D171" s="3">
        <v>300.0</v>
      </c>
      <c r="E171" s="3">
        <v>30.0</v>
      </c>
      <c r="F171" s="3">
        <v>512.0</v>
      </c>
      <c r="G171" s="7">
        <v>20.31375357114138</v>
      </c>
      <c r="H171" s="7">
        <v>3.353438392785345</v>
      </c>
      <c r="I171" s="7">
        <v>98.20916904742758</v>
      </c>
      <c r="J171" s="7">
        <v>265.1146130928448</v>
      </c>
      <c r="K171" s="7">
        <v>28.81833809485517</v>
      </c>
    </row>
    <row r="172" ht="15.75" customHeight="1">
      <c r="A172" s="3" t="s">
        <v>101</v>
      </c>
      <c r="B172" s="3" t="s">
        <v>148</v>
      </c>
      <c r="C172" s="3">
        <v>21.0</v>
      </c>
      <c r="D172" s="3">
        <v>300.0</v>
      </c>
      <c r="E172" s="3">
        <v>30.0</v>
      </c>
      <c r="F172" s="3">
        <v>512.0</v>
      </c>
      <c r="G172" s="7">
        <v>20.42883236573039</v>
      </c>
      <c r="H172" s="7">
        <v>3.382208091432597</v>
      </c>
      <c r="I172" s="7">
        <v>98.28588824382025</v>
      </c>
      <c r="J172" s="7">
        <v>266.0736030477532</v>
      </c>
      <c r="K172" s="7">
        <v>28.97177648764051</v>
      </c>
    </row>
    <row r="173" ht="15.75" customHeight="1">
      <c r="A173" s="3" t="s">
        <v>101</v>
      </c>
      <c r="B173" s="3" t="s">
        <v>148</v>
      </c>
      <c r="C173" s="3">
        <v>22.0</v>
      </c>
      <c r="D173" s="3">
        <v>300.0</v>
      </c>
      <c r="E173" s="3">
        <v>30.0</v>
      </c>
      <c r="F173" s="3">
        <v>512.0</v>
      </c>
      <c r="G173" s="7">
        <v>20.54391116031939</v>
      </c>
      <c r="H173" s="7">
        <v>3.410977790079849</v>
      </c>
      <c r="I173" s="7">
        <v>98.36260744021293</v>
      </c>
      <c r="J173" s="7">
        <v>267.0325930026616</v>
      </c>
      <c r="K173" s="7">
        <v>29.12521488042586</v>
      </c>
    </row>
    <row r="174" ht="15.75" customHeight="1">
      <c r="A174" s="3" t="s">
        <v>101</v>
      </c>
      <c r="B174" s="3" t="s">
        <v>148</v>
      </c>
      <c r="C174" s="3">
        <v>23.0</v>
      </c>
      <c r="D174" s="3">
        <v>300.0</v>
      </c>
      <c r="E174" s="3">
        <v>30.0</v>
      </c>
      <c r="F174" s="3">
        <v>512.0</v>
      </c>
      <c r="G174" s="7">
        <v>20.6589899549084</v>
      </c>
      <c r="H174" s="7">
        <v>3.439747488727101</v>
      </c>
      <c r="I174" s="7">
        <v>98.4393266366056</v>
      </c>
      <c r="J174" s="7">
        <v>267.99158295757</v>
      </c>
      <c r="K174" s="7">
        <v>29.27865327321121</v>
      </c>
    </row>
    <row r="175" ht="15.75" customHeight="1">
      <c r="A175" s="3" t="s">
        <v>101</v>
      </c>
      <c r="B175" s="3" t="s">
        <v>148</v>
      </c>
      <c r="C175" s="3">
        <v>24.0</v>
      </c>
      <c r="D175" s="3">
        <v>300.0</v>
      </c>
      <c r="E175" s="3">
        <v>30.0</v>
      </c>
      <c r="F175" s="3">
        <v>512.0</v>
      </c>
      <c r="G175" s="7">
        <v>20.77406874949741</v>
      </c>
      <c r="H175" s="7">
        <v>3.468517187374353</v>
      </c>
      <c r="I175" s="7">
        <v>98.51604583299827</v>
      </c>
      <c r="J175" s="7">
        <v>268.9505729124784</v>
      </c>
      <c r="K175" s="7">
        <v>29.43209166599655</v>
      </c>
    </row>
    <row r="176" ht="15.75" customHeight="1">
      <c r="A176" s="3" t="s">
        <v>101</v>
      </c>
      <c r="B176" s="3" t="s">
        <v>148</v>
      </c>
      <c r="C176" s="3">
        <v>25.0</v>
      </c>
      <c r="D176" s="3">
        <v>300.0</v>
      </c>
      <c r="E176" s="3">
        <v>30.0</v>
      </c>
      <c r="F176" s="3">
        <v>512.0</v>
      </c>
      <c r="G176" s="7">
        <v>20.90193407681853</v>
      </c>
      <c r="H176" s="7">
        <v>3.500483519204633</v>
      </c>
      <c r="I176" s="7">
        <v>98.60128938454568</v>
      </c>
      <c r="J176" s="7">
        <v>270.0161173068211</v>
      </c>
      <c r="K176" s="7">
        <v>29.60257876909138</v>
      </c>
    </row>
    <row r="177" ht="15.75" customHeight="1">
      <c r="A177" s="3" t="s">
        <v>101</v>
      </c>
      <c r="B177" s="3" t="s">
        <v>148</v>
      </c>
      <c r="C177" s="3">
        <v>26.0</v>
      </c>
      <c r="D177" s="3">
        <v>300.0</v>
      </c>
      <c r="E177" s="3">
        <v>30.0</v>
      </c>
      <c r="F177" s="3">
        <v>512.0</v>
      </c>
      <c r="G177" s="7">
        <v>21.04258593687176</v>
      </c>
      <c r="H177" s="7">
        <v>3.535646484217942</v>
      </c>
      <c r="I177" s="7">
        <v>98.69505729124783</v>
      </c>
      <c r="J177" s="7">
        <v>271.1882161405981</v>
      </c>
      <c r="K177" s="7">
        <v>29.79011458249569</v>
      </c>
    </row>
    <row r="178" ht="15.75" customHeight="1">
      <c r="A178" s="3" t="s">
        <v>101</v>
      </c>
      <c r="B178" s="3" t="s">
        <v>148</v>
      </c>
      <c r="C178" s="3">
        <v>27.0</v>
      </c>
      <c r="D178" s="3">
        <v>300.0</v>
      </c>
      <c r="E178" s="3">
        <v>30.0</v>
      </c>
      <c r="F178" s="3">
        <v>512.0</v>
      </c>
      <c r="G178" s="7">
        <v>21.19602432965711</v>
      </c>
      <c r="H178" s="7">
        <v>3.574006082414277</v>
      </c>
      <c r="I178" s="7">
        <v>98.79734955310474</v>
      </c>
      <c r="J178" s="7">
        <v>272.4668694138093</v>
      </c>
      <c r="K178" s="7">
        <v>29.99469910620948</v>
      </c>
    </row>
    <row r="179" ht="15.75" customHeight="1">
      <c r="A179" s="3" t="s">
        <v>101</v>
      </c>
      <c r="B179" s="3" t="s">
        <v>148</v>
      </c>
      <c r="C179" s="3">
        <v>28.0</v>
      </c>
      <c r="D179" s="3">
        <v>300.0</v>
      </c>
      <c r="E179" s="3">
        <v>30.0</v>
      </c>
      <c r="F179" s="3">
        <v>512.0</v>
      </c>
      <c r="G179" s="7">
        <v>21.37503578790668</v>
      </c>
      <c r="H179" s="7">
        <v>3.61875894697667</v>
      </c>
      <c r="I179" s="7">
        <v>98.91669052527112</v>
      </c>
      <c r="J179" s="7">
        <v>273.958631565889</v>
      </c>
      <c r="K179" s="7">
        <v>30.23338105054224</v>
      </c>
    </row>
    <row r="180" ht="15.75" customHeight="1">
      <c r="A180" s="3" t="s">
        <v>101</v>
      </c>
      <c r="B180" s="3" t="s">
        <v>148</v>
      </c>
      <c r="C180" s="3">
        <v>29.0</v>
      </c>
      <c r="D180" s="3">
        <v>300.0</v>
      </c>
      <c r="E180" s="3">
        <v>30.0</v>
      </c>
      <c r="F180" s="3">
        <v>512.0</v>
      </c>
      <c r="G180" s="7">
        <v>21.59240684435258</v>
      </c>
      <c r="H180" s="7">
        <v>3.673101711088146</v>
      </c>
      <c r="I180" s="7">
        <v>99.06160456290172</v>
      </c>
      <c r="J180" s="7">
        <v>275.7700570362715</v>
      </c>
      <c r="K180" s="7">
        <v>30.52320912580344</v>
      </c>
    </row>
    <row r="181" ht="15.75" customHeight="1">
      <c r="A181" s="3" t="s">
        <v>101</v>
      </c>
      <c r="B181" s="3" t="s">
        <v>148</v>
      </c>
      <c r="C181" s="3">
        <v>30.0</v>
      </c>
      <c r="D181" s="3">
        <v>300.0</v>
      </c>
      <c r="E181" s="3">
        <v>30.0</v>
      </c>
      <c r="F181" s="3">
        <v>512.0</v>
      </c>
      <c r="G181" s="7">
        <v>21.89928362992327</v>
      </c>
      <c r="H181" s="7">
        <v>3.749820907480818</v>
      </c>
      <c r="I181" s="7">
        <v>99.26618908661551</v>
      </c>
      <c r="J181" s="7">
        <v>278.3273635826939</v>
      </c>
      <c r="K181" s="7">
        <v>30.93237817323103</v>
      </c>
    </row>
    <row r="182" ht="15.75" customHeight="1">
      <c r="A182" s="3" t="s">
        <v>101</v>
      </c>
      <c r="B182" s="3" t="s">
        <v>149</v>
      </c>
      <c r="C182" s="3">
        <v>1.0</v>
      </c>
      <c r="D182" s="3">
        <v>300.0</v>
      </c>
      <c r="E182" s="3">
        <v>30.0</v>
      </c>
      <c r="F182" s="3">
        <v>512.0</v>
      </c>
      <c r="G182" s="7">
        <v>29.71780091928816</v>
      </c>
      <c r="H182" s="7">
        <v>4.217084549211425</v>
      </c>
      <c r="I182" s="7">
        <v>98.26690545669224</v>
      </c>
      <c r="J182" s="7">
        <v>309.8399000590367</v>
      </c>
      <c r="K182" s="7">
        <v>17.38399000590367</v>
      </c>
    </row>
    <row r="183" ht="15.75" customHeight="1">
      <c r="A183" s="3" t="s">
        <v>101</v>
      </c>
      <c r="B183" s="3" t="s">
        <v>149</v>
      </c>
      <c r="C183" s="3">
        <v>2.0</v>
      </c>
      <c r="D183" s="3">
        <v>300.0</v>
      </c>
      <c r="E183" s="3">
        <v>30.0</v>
      </c>
      <c r="F183" s="3">
        <v>512.0</v>
      </c>
      <c r="G183" s="7">
        <v>30.20368916310841</v>
      </c>
      <c r="H183" s="7">
        <v>4.396096007460994</v>
      </c>
      <c r="I183" s="7">
        <v>98.36919771854915</v>
      </c>
      <c r="J183" s="7">
        <v>312.6529372601013</v>
      </c>
      <c r="K183" s="7">
        <v>17.66529372601013</v>
      </c>
    </row>
    <row r="184" ht="15.75" customHeight="1">
      <c r="A184" s="3" t="s">
        <v>101</v>
      </c>
      <c r="B184" s="3" t="s">
        <v>149</v>
      </c>
      <c r="C184" s="3">
        <v>3.0</v>
      </c>
      <c r="D184" s="3">
        <v>300.0</v>
      </c>
      <c r="E184" s="3">
        <v>30.0</v>
      </c>
      <c r="F184" s="3">
        <v>512.0</v>
      </c>
      <c r="G184" s="7">
        <v>30.54786000248109</v>
      </c>
      <c r="H184" s="7">
        <v>4.522895790387771</v>
      </c>
      <c r="I184" s="7">
        <v>98.44165473736444</v>
      </c>
      <c r="J184" s="7">
        <v>314.6455052775221</v>
      </c>
      <c r="K184" s="7">
        <v>17.86455052775221</v>
      </c>
    </row>
    <row r="185" ht="15.75" customHeight="1">
      <c r="A185" s="3" t="s">
        <v>101</v>
      </c>
      <c r="B185" s="3" t="s">
        <v>149</v>
      </c>
      <c r="C185" s="3">
        <v>4.0</v>
      </c>
      <c r="D185" s="3">
        <v>300.0</v>
      </c>
      <c r="E185" s="3">
        <v>30.0</v>
      </c>
      <c r="F185" s="3">
        <v>512.0</v>
      </c>
      <c r="G185" s="7">
        <v>30.83129481137625</v>
      </c>
      <c r="H185" s="7">
        <v>4.627319141033353</v>
      </c>
      <c r="I185" s="7">
        <v>98.50132522344764</v>
      </c>
      <c r="J185" s="7">
        <v>316.2864436448098</v>
      </c>
      <c r="K185" s="7">
        <v>18.02864436448098</v>
      </c>
    </row>
    <row r="186" ht="15.75" customHeight="1">
      <c r="A186" s="3" t="s">
        <v>101</v>
      </c>
      <c r="B186" s="3" t="s">
        <v>149</v>
      </c>
      <c r="C186" s="3">
        <v>5.0</v>
      </c>
      <c r="D186" s="3">
        <v>300.0</v>
      </c>
      <c r="E186" s="3">
        <v>30.0</v>
      </c>
      <c r="F186" s="3">
        <v>512.0</v>
      </c>
      <c r="G186" s="7">
        <v>31.07423893328637</v>
      </c>
      <c r="H186" s="7">
        <v>4.716824870158137</v>
      </c>
      <c r="I186" s="7">
        <v>98.55247135437608</v>
      </c>
      <c r="J186" s="7">
        <v>317.6929622453421</v>
      </c>
      <c r="K186" s="7">
        <v>18.16929622453421</v>
      </c>
    </row>
    <row r="187" ht="15.75" customHeight="1">
      <c r="A187" s="3" t="s">
        <v>101</v>
      </c>
      <c r="B187" s="3" t="s">
        <v>149</v>
      </c>
      <c r="C187" s="3">
        <v>6.0</v>
      </c>
      <c r="D187" s="3">
        <v>300.0</v>
      </c>
      <c r="E187" s="3">
        <v>30.0</v>
      </c>
      <c r="F187" s="3">
        <v>512.0</v>
      </c>
      <c r="G187" s="7">
        <v>31.29693771170399</v>
      </c>
      <c r="H187" s="7">
        <v>4.798871788522523</v>
      </c>
      <c r="I187" s="7">
        <v>98.59935530772715</v>
      </c>
      <c r="J187" s="7">
        <v>318.9822709624968</v>
      </c>
      <c r="K187" s="7">
        <v>18.29822709624968</v>
      </c>
    </row>
    <row r="188" ht="15.75" customHeight="1">
      <c r="A188" s="3" t="s">
        <v>101</v>
      </c>
      <c r="B188" s="3" t="s">
        <v>149</v>
      </c>
      <c r="C188" s="3">
        <v>7.0</v>
      </c>
      <c r="D188" s="3">
        <v>300.0</v>
      </c>
      <c r="E188" s="3">
        <v>30.0</v>
      </c>
      <c r="F188" s="3">
        <v>512.0</v>
      </c>
      <c r="G188" s="7">
        <v>31.4993911466291</v>
      </c>
      <c r="H188" s="7">
        <v>4.873459896126509</v>
      </c>
      <c r="I188" s="7">
        <v>98.64197708350086</v>
      </c>
      <c r="J188" s="7">
        <v>320.1543697962737</v>
      </c>
      <c r="K188" s="7">
        <v>18.41543697962737</v>
      </c>
    </row>
    <row r="189" ht="15.75" customHeight="1">
      <c r="A189" s="3" t="s">
        <v>101</v>
      </c>
      <c r="B189" s="3" t="s">
        <v>149</v>
      </c>
      <c r="C189" s="3">
        <v>8.0</v>
      </c>
      <c r="D189" s="3">
        <v>300.0</v>
      </c>
      <c r="E189" s="3">
        <v>30.0</v>
      </c>
      <c r="F189" s="3">
        <v>512.0</v>
      </c>
      <c r="G189" s="7">
        <v>31.6815992380617</v>
      </c>
      <c r="H189" s="7">
        <v>4.940589192970098</v>
      </c>
      <c r="I189" s="7">
        <v>98.6803366816972</v>
      </c>
      <c r="J189" s="7">
        <v>321.209258746673</v>
      </c>
      <c r="K189" s="7">
        <v>18.5209258746673</v>
      </c>
    </row>
    <row r="190" ht="15.75" customHeight="1">
      <c r="A190" s="3" t="s">
        <v>101</v>
      </c>
      <c r="B190" s="3" t="s">
        <v>149</v>
      </c>
      <c r="C190" s="3">
        <v>9.0</v>
      </c>
      <c r="D190" s="3">
        <v>300.0</v>
      </c>
      <c r="E190" s="3">
        <v>30.0</v>
      </c>
      <c r="F190" s="3">
        <v>512.0</v>
      </c>
      <c r="G190" s="7">
        <v>31.86380732949429</v>
      </c>
      <c r="H190" s="7">
        <v>5.007718489813686</v>
      </c>
      <c r="I190" s="7">
        <v>98.71869627989354</v>
      </c>
      <c r="J190" s="7">
        <v>322.2641476970722</v>
      </c>
      <c r="K190" s="7">
        <v>18.62641476970722</v>
      </c>
    </row>
    <row r="191" ht="15.75" customHeight="1">
      <c r="A191" s="3" t="s">
        <v>101</v>
      </c>
      <c r="B191" s="3" t="s">
        <v>149</v>
      </c>
      <c r="C191" s="3">
        <v>10.0</v>
      </c>
      <c r="D191" s="3">
        <v>300.0</v>
      </c>
      <c r="E191" s="3">
        <v>30.0</v>
      </c>
      <c r="F191" s="3">
        <v>512.0</v>
      </c>
      <c r="G191" s="7">
        <v>32.04601542092689</v>
      </c>
      <c r="H191" s="7">
        <v>5.074847786657275</v>
      </c>
      <c r="I191" s="7">
        <v>98.75705587808987</v>
      </c>
      <c r="J191" s="7">
        <v>323.3190366474715</v>
      </c>
      <c r="K191" s="7">
        <v>18.73190366474714</v>
      </c>
    </row>
    <row r="192" ht="15.75" customHeight="1">
      <c r="A192" s="3" t="s">
        <v>101</v>
      </c>
      <c r="B192" s="3" t="s">
        <v>149</v>
      </c>
      <c r="C192" s="3">
        <v>11.0</v>
      </c>
      <c r="D192" s="3">
        <v>300.0</v>
      </c>
      <c r="E192" s="3">
        <v>30.0</v>
      </c>
      <c r="F192" s="3">
        <v>512.0</v>
      </c>
      <c r="G192" s="7">
        <v>32.22822351235948</v>
      </c>
      <c r="H192" s="7">
        <v>5.141977083500863</v>
      </c>
      <c r="I192" s="7">
        <v>98.79541547628621</v>
      </c>
      <c r="J192" s="7">
        <v>324.3739255978707</v>
      </c>
      <c r="K192" s="7">
        <v>18.83739255978707</v>
      </c>
    </row>
    <row r="193" ht="15.75" customHeight="1">
      <c r="A193" s="3" t="s">
        <v>101</v>
      </c>
      <c r="B193" s="3" t="s">
        <v>149</v>
      </c>
      <c r="C193" s="3">
        <v>12.0</v>
      </c>
      <c r="D193" s="3">
        <v>300.0</v>
      </c>
      <c r="E193" s="3">
        <v>30.0</v>
      </c>
      <c r="F193" s="3">
        <v>512.0</v>
      </c>
      <c r="G193" s="7">
        <v>32.41043160379208</v>
      </c>
      <c r="H193" s="7">
        <v>5.209106380344451</v>
      </c>
      <c r="I193" s="7">
        <v>98.83377507448255</v>
      </c>
      <c r="J193" s="7">
        <v>325.4288145482699</v>
      </c>
      <c r="K193" s="7">
        <v>18.94288145482699</v>
      </c>
    </row>
    <row r="194" ht="15.75" customHeight="1">
      <c r="A194" s="3" t="s">
        <v>101</v>
      </c>
      <c r="B194" s="3" t="s">
        <v>149</v>
      </c>
      <c r="C194" s="3">
        <v>13.0</v>
      </c>
      <c r="D194" s="3">
        <v>300.0</v>
      </c>
      <c r="E194" s="3">
        <v>30.0</v>
      </c>
      <c r="F194" s="3">
        <v>512.0</v>
      </c>
      <c r="G194" s="7">
        <v>32.59263969522468</v>
      </c>
      <c r="H194" s="7">
        <v>5.276235677188039</v>
      </c>
      <c r="I194" s="7">
        <v>98.87213467267888</v>
      </c>
      <c r="J194" s="7">
        <v>326.4837034986692</v>
      </c>
      <c r="K194" s="7">
        <v>19.04837034986692</v>
      </c>
    </row>
    <row r="195" ht="15.75" customHeight="1">
      <c r="A195" s="3" t="s">
        <v>101</v>
      </c>
      <c r="B195" s="3" t="s">
        <v>149</v>
      </c>
      <c r="C195" s="3">
        <v>14.0</v>
      </c>
      <c r="D195" s="3">
        <v>300.0</v>
      </c>
      <c r="E195" s="3">
        <v>30.0</v>
      </c>
      <c r="F195" s="3">
        <v>512.0</v>
      </c>
      <c r="G195" s="7">
        <v>32.79509313014979</v>
      </c>
      <c r="H195" s="7">
        <v>5.350823784792026</v>
      </c>
      <c r="I195" s="7">
        <v>98.9147564484526</v>
      </c>
      <c r="J195" s="7">
        <v>327.6558023324461</v>
      </c>
      <c r="K195" s="7">
        <v>19.16558023324461</v>
      </c>
    </row>
    <row r="196" ht="15.75" customHeight="1">
      <c r="A196" s="3" t="s">
        <v>101</v>
      </c>
      <c r="B196" s="3" t="s">
        <v>149</v>
      </c>
      <c r="C196" s="3">
        <v>15.0</v>
      </c>
      <c r="D196" s="3">
        <v>300.0</v>
      </c>
      <c r="E196" s="3">
        <v>30.0</v>
      </c>
      <c r="F196" s="3">
        <v>512.0</v>
      </c>
      <c r="G196" s="7">
        <v>32.9975465650749</v>
      </c>
      <c r="H196" s="7">
        <v>5.425411892396014</v>
      </c>
      <c r="I196" s="7">
        <v>98.95737822422629</v>
      </c>
      <c r="J196" s="7">
        <v>328.8279011662231</v>
      </c>
      <c r="K196" s="7">
        <v>19.28279011662231</v>
      </c>
    </row>
    <row r="197" ht="15.75" customHeight="1">
      <c r="A197" s="3" t="s">
        <v>101</v>
      </c>
      <c r="B197" s="3" t="s">
        <v>149</v>
      </c>
      <c r="C197" s="3">
        <v>16.0</v>
      </c>
      <c r="D197" s="3">
        <v>300.0</v>
      </c>
      <c r="E197" s="3">
        <v>30.0</v>
      </c>
      <c r="F197" s="3">
        <v>512.0</v>
      </c>
      <c r="G197" s="7">
        <v>33.40245343492511</v>
      </c>
      <c r="H197" s="7">
        <v>5.574588107603987</v>
      </c>
      <c r="I197" s="7">
        <v>99.04262177577371</v>
      </c>
      <c r="J197" s="7">
        <v>331.1720988337769</v>
      </c>
      <c r="K197" s="7">
        <v>19.51720988337769</v>
      </c>
    </row>
    <row r="198" ht="15.75" customHeight="1">
      <c r="A198" s="3" t="s">
        <v>101</v>
      </c>
      <c r="B198" s="3" t="s">
        <v>149</v>
      </c>
      <c r="C198" s="3">
        <v>17.0</v>
      </c>
      <c r="D198" s="3">
        <v>300.0</v>
      </c>
      <c r="E198" s="3">
        <v>30.0</v>
      </c>
      <c r="F198" s="3">
        <v>512.0</v>
      </c>
      <c r="G198" s="7">
        <v>33.60490686985022</v>
      </c>
      <c r="H198" s="7">
        <v>5.649176215207974</v>
      </c>
      <c r="I198" s="7">
        <v>99.0852435515474</v>
      </c>
      <c r="J198" s="7">
        <v>332.3441976675539</v>
      </c>
      <c r="K198" s="7">
        <v>19.63441976675539</v>
      </c>
    </row>
    <row r="199" ht="15.75" customHeight="1">
      <c r="A199" s="3" t="s">
        <v>101</v>
      </c>
      <c r="B199" s="3" t="s">
        <v>149</v>
      </c>
      <c r="C199" s="3">
        <v>18.0</v>
      </c>
      <c r="D199" s="3">
        <v>300.0</v>
      </c>
      <c r="E199" s="3">
        <v>30.0</v>
      </c>
      <c r="F199" s="3">
        <v>512.0</v>
      </c>
      <c r="G199" s="7">
        <v>33.80736030477532</v>
      </c>
      <c r="H199" s="7">
        <v>5.723764322811961</v>
      </c>
      <c r="I199" s="7">
        <v>99.12786532732112</v>
      </c>
      <c r="J199" s="7">
        <v>333.5162965013308</v>
      </c>
      <c r="K199" s="7">
        <v>19.75162965013308</v>
      </c>
    </row>
    <row r="200" ht="15.75" customHeight="1">
      <c r="A200" s="3" t="s">
        <v>101</v>
      </c>
      <c r="B200" s="3" t="s">
        <v>149</v>
      </c>
      <c r="C200" s="3">
        <v>19.0</v>
      </c>
      <c r="D200" s="3">
        <v>300.0</v>
      </c>
      <c r="E200" s="3">
        <v>30.0</v>
      </c>
      <c r="F200" s="3">
        <v>512.0</v>
      </c>
      <c r="G200" s="7">
        <v>33.98956839620792</v>
      </c>
      <c r="H200" s="7">
        <v>5.790893619655549</v>
      </c>
      <c r="I200" s="7">
        <v>99.16622492551745</v>
      </c>
      <c r="J200" s="7">
        <v>334.5711854517301</v>
      </c>
      <c r="K200" s="7">
        <v>19.85711854517301</v>
      </c>
    </row>
    <row r="201" ht="15.75" customHeight="1">
      <c r="A201" s="3" t="s">
        <v>101</v>
      </c>
      <c r="B201" s="3" t="s">
        <v>149</v>
      </c>
      <c r="C201" s="3">
        <v>20.0</v>
      </c>
      <c r="D201" s="3">
        <v>300.0</v>
      </c>
      <c r="E201" s="3">
        <v>30.0</v>
      </c>
      <c r="F201" s="3">
        <v>512.0</v>
      </c>
      <c r="G201" s="7">
        <v>34.17177648764052</v>
      </c>
      <c r="H201" s="7">
        <v>5.858022916499137</v>
      </c>
      <c r="I201" s="7">
        <v>99.20458452371379</v>
      </c>
      <c r="J201" s="7">
        <v>335.6260744021293</v>
      </c>
      <c r="K201" s="7">
        <v>19.96260744021293</v>
      </c>
    </row>
    <row r="202" ht="15.75" customHeight="1">
      <c r="A202" s="3" t="s">
        <v>101</v>
      </c>
      <c r="B202" s="3" t="s">
        <v>149</v>
      </c>
      <c r="C202" s="3">
        <v>21.0</v>
      </c>
      <c r="D202" s="3">
        <v>300.0</v>
      </c>
      <c r="E202" s="3">
        <v>30.0</v>
      </c>
      <c r="F202" s="3">
        <v>512.0</v>
      </c>
      <c r="G202" s="7">
        <v>34.35398457907311</v>
      </c>
      <c r="H202" s="7">
        <v>5.925152213342725</v>
      </c>
      <c r="I202" s="7">
        <v>99.24294412191013</v>
      </c>
      <c r="J202" s="7">
        <v>336.6809633525285</v>
      </c>
      <c r="K202" s="7">
        <v>20.06809633525285</v>
      </c>
    </row>
    <row r="203" ht="15.75" customHeight="1">
      <c r="A203" s="3" t="s">
        <v>101</v>
      </c>
      <c r="B203" s="3" t="s">
        <v>149</v>
      </c>
      <c r="C203" s="3">
        <v>22.0</v>
      </c>
      <c r="D203" s="3">
        <v>300.0</v>
      </c>
      <c r="E203" s="3">
        <v>30.0</v>
      </c>
      <c r="F203" s="3">
        <v>512.0</v>
      </c>
      <c r="G203" s="7">
        <v>34.53619267050571</v>
      </c>
      <c r="H203" s="7">
        <v>5.992281510186314</v>
      </c>
      <c r="I203" s="7">
        <v>99.28130372010646</v>
      </c>
      <c r="J203" s="7">
        <v>337.7358523029278</v>
      </c>
      <c r="K203" s="7">
        <v>20.17358523029278</v>
      </c>
    </row>
    <row r="204" ht="15.75" customHeight="1">
      <c r="A204" s="3" t="s">
        <v>101</v>
      </c>
      <c r="B204" s="3" t="s">
        <v>149</v>
      </c>
      <c r="C204" s="3">
        <v>23.0</v>
      </c>
      <c r="D204" s="3">
        <v>300.0</v>
      </c>
      <c r="E204" s="3">
        <v>30.0</v>
      </c>
      <c r="F204" s="3">
        <v>512.0</v>
      </c>
      <c r="G204" s="7">
        <v>34.71840076193831</v>
      </c>
      <c r="H204" s="7">
        <v>6.059410807029902</v>
      </c>
      <c r="I204" s="7">
        <v>99.3196633183028</v>
      </c>
      <c r="J204" s="7">
        <v>338.790741253327</v>
      </c>
      <c r="K204" s="7">
        <v>20.2790741253327</v>
      </c>
    </row>
    <row r="205" ht="15.75" customHeight="1">
      <c r="A205" s="3" t="s">
        <v>101</v>
      </c>
      <c r="B205" s="3" t="s">
        <v>149</v>
      </c>
      <c r="C205" s="3">
        <v>24.0</v>
      </c>
      <c r="D205" s="3">
        <v>300.0</v>
      </c>
      <c r="E205" s="3">
        <v>30.0</v>
      </c>
      <c r="F205" s="3">
        <v>512.0</v>
      </c>
      <c r="G205" s="7">
        <v>34.9006088533709</v>
      </c>
      <c r="H205" s="7">
        <v>6.126540103873491</v>
      </c>
      <c r="I205" s="7">
        <v>99.35802291649914</v>
      </c>
      <c r="J205" s="7">
        <v>339.8456302037263</v>
      </c>
      <c r="K205" s="7">
        <v>20.38456302037262</v>
      </c>
    </row>
    <row r="206" ht="15.75" customHeight="1">
      <c r="A206" s="3" t="s">
        <v>101</v>
      </c>
      <c r="B206" s="3" t="s">
        <v>149</v>
      </c>
      <c r="C206" s="3">
        <v>25.0</v>
      </c>
      <c r="D206" s="3">
        <v>300.0</v>
      </c>
      <c r="E206" s="3">
        <v>30.0</v>
      </c>
      <c r="F206" s="3">
        <v>512.0</v>
      </c>
      <c r="G206" s="7">
        <v>35.10306228829602</v>
      </c>
      <c r="H206" s="7">
        <v>6.201128211477477</v>
      </c>
      <c r="I206" s="7">
        <v>99.40064469227285</v>
      </c>
      <c r="J206" s="7">
        <v>341.0177290375032</v>
      </c>
      <c r="K206" s="7">
        <v>20.50177290375032</v>
      </c>
    </row>
    <row r="207" ht="15.75" customHeight="1">
      <c r="A207" s="3" t="s">
        <v>101</v>
      </c>
      <c r="B207" s="3" t="s">
        <v>149</v>
      </c>
      <c r="C207" s="3">
        <v>26.0</v>
      </c>
      <c r="D207" s="3">
        <v>300.0</v>
      </c>
      <c r="E207" s="3">
        <v>30.0</v>
      </c>
      <c r="F207" s="3">
        <v>512.0</v>
      </c>
      <c r="G207" s="7">
        <v>35.32576106671363</v>
      </c>
      <c r="H207" s="7">
        <v>6.283175129841863</v>
      </c>
      <c r="I207" s="7">
        <v>99.44752864562392</v>
      </c>
      <c r="J207" s="7">
        <v>342.3070377546579</v>
      </c>
      <c r="K207" s="7">
        <v>20.63070377546578</v>
      </c>
    </row>
    <row r="208" ht="15.75" customHeight="1">
      <c r="A208" s="3" t="s">
        <v>101</v>
      </c>
      <c r="B208" s="3" t="s">
        <v>149</v>
      </c>
      <c r="C208" s="3">
        <v>27.0</v>
      </c>
      <c r="D208" s="3">
        <v>300.0</v>
      </c>
      <c r="E208" s="3">
        <v>30.0</v>
      </c>
      <c r="F208" s="3">
        <v>512.0</v>
      </c>
      <c r="G208" s="7">
        <v>35.56870518862376</v>
      </c>
      <c r="H208" s="7">
        <v>6.372680858966647</v>
      </c>
      <c r="I208" s="7">
        <v>99.49867477655236</v>
      </c>
      <c r="J208" s="7">
        <v>343.7135563551902</v>
      </c>
      <c r="K208" s="7">
        <v>20.77135563551901</v>
      </c>
    </row>
    <row r="209" ht="15.75" customHeight="1">
      <c r="A209" s="3" t="s">
        <v>101</v>
      </c>
      <c r="B209" s="3" t="s">
        <v>149</v>
      </c>
      <c r="C209" s="3">
        <v>28.0</v>
      </c>
      <c r="D209" s="3">
        <v>300.0</v>
      </c>
      <c r="E209" s="3">
        <v>30.0</v>
      </c>
      <c r="F209" s="3">
        <v>512.0</v>
      </c>
      <c r="G209" s="7">
        <v>35.85213999751891</v>
      </c>
      <c r="H209" s="7">
        <v>6.477104209612229</v>
      </c>
      <c r="I209" s="7">
        <v>99.55834526263556</v>
      </c>
      <c r="J209" s="7">
        <v>345.3544947224779</v>
      </c>
      <c r="K209" s="7">
        <v>20.93544947224779</v>
      </c>
    </row>
    <row r="210" ht="15.75" customHeight="1">
      <c r="A210" s="3" t="s">
        <v>101</v>
      </c>
      <c r="B210" s="3" t="s">
        <v>149</v>
      </c>
      <c r="C210" s="3">
        <v>29.0</v>
      </c>
      <c r="D210" s="3">
        <v>300.0</v>
      </c>
      <c r="E210" s="3">
        <v>30.0</v>
      </c>
      <c r="F210" s="3">
        <v>512.0</v>
      </c>
      <c r="G210" s="7">
        <v>36.19631083689159</v>
      </c>
      <c r="H210" s="7">
        <v>6.603903992539006</v>
      </c>
      <c r="I210" s="7">
        <v>99.63080228145085</v>
      </c>
      <c r="J210" s="7">
        <v>347.3470627398987</v>
      </c>
      <c r="K210" s="7">
        <v>21.13470627398987</v>
      </c>
    </row>
    <row r="211" ht="15.75" customHeight="1">
      <c r="A211" s="3" t="s">
        <v>101</v>
      </c>
      <c r="B211" s="3" t="s">
        <v>149</v>
      </c>
      <c r="C211" s="3">
        <v>30.0</v>
      </c>
      <c r="D211" s="3">
        <v>300.0</v>
      </c>
      <c r="E211" s="3">
        <v>30.0</v>
      </c>
      <c r="F211" s="3">
        <v>512.0</v>
      </c>
      <c r="G211" s="7">
        <v>36.68219908071185</v>
      </c>
      <c r="H211" s="7">
        <v>6.782915450788575</v>
      </c>
      <c r="I211" s="7">
        <v>99.73309454330776</v>
      </c>
      <c r="J211" s="7">
        <v>350.1600999409633</v>
      </c>
      <c r="K211" s="7">
        <v>21.41600999409633</v>
      </c>
    </row>
    <row r="212" ht="15.75" customHeight="1">
      <c r="A212" s="3" t="s">
        <v>101</v>
      </c>
      <c r="B212" s="3" t="s">
        <v>150</v>
      </c>
      <c r="C212" s="3">
        <v>1.0</v>
      </c>
      <c r="D212" s="3">
        <v>300.0</v>
      </c>
      <c r="E212" s="3">
        <v>30.0</v>
      </c>
      <c r="F212" s="3">
        <v>512.0</v>
      </c>
      <c r="G212" s="7">
        <v>36.3683381968457</v>
      </c>
      <c r="H212" s="7">
        <v>4.450537277557546</v>
      </c>
      <c r="I212" s="7">
        <v>93.20071637007673</v>
      </c>
      <c r="J212" s="7">
        <v>286.1744273424979</v>
      </c>
      <c r="K212" s="7">
        <v>19.53416909842285</v>
      </c>
    </row>
    <row r="213" ht="15.75" customHeight="1">
      <c r="A213" s="3" t="s">
        <v>101</v>
      </c>
      <c r="B213" s="3" t="s">
        <v>150</v>
      </c>
      <c r="C213" s="3">
        <v>2.0</v>
      </c>
      <c r="D213" s="3">
        <v>300.0</v>
      </c>
      <c r="E213" s="3">
        <v>30.0</v>
      </c>
      <c r="F213" s="3">
        <v>512.0</v>
      </c>
      <c r="G213" s="7">
        <v>37.08438402984397</v>
      </c>
      <c r="H213" s="7">
        <v>4.680694866735562</v>
      </c>
      <c r="I213" s="7">
        <v>93.50759315564743</v>
      </c>
      <c r="J213" s="7">
        <v>289.498925852847</v>
      </c>
      <c r="K213" s="7">
        <v>19.89219201492199</v>
      </c>
    </row>
    <row r="214" ht="15.75" customHeight="1">
      <c r="A214" s="3" t="s">
        <v>101</v>
      </c>
      <c r="B214" s="3" t="s">
        <v>150</v>
      </c>
      <c r="C214" s="3">
        <v>3.0</v>
      </c>
      <c r="D214" s="3">
        <v>300.0</v>
      </c>
      <c r="E214" s="3">
        <v>30.0</v>
      </c>
      <c r="F214" s="3">
        <v>512.0</v>
      </c>
      <c r="G214" s="7">
        <v>37.59158316155109</v>
      </c>
      <c r="H214" s="7">
        <v>4.843723159069991</v>
      </c>
      <c r="I214" s="7">
        <v>93.72496421209333</v>
      </c>
      <c r="J214" s="7">
        <v>291.8537789643443</v>
      </c>
      <c r="K214" s="7">
        <v>20.14579158077554</v>
      </c>
    </row>
    <row r="215" ht="15.75" customHeight="1">
      <c r="A215" s="3" t="s">
        <v>101</v>
      </c>
      <c r="B215" s="3" t="s">
        <v>150</v>
      </c>
      <c r="C215" s="3">
        <v>4.0</v>
      </c>
      <c r="D215" s="3">
        <v>300.0</v>
      </c>
      <c r="E215" s="3">
        <v>30.0</v>
      </c>
      <c r="F215" s="3">
        <v>512.0</v>
      </c>
      <c r="G215" s="7">
        <v>38.00927656413341</v>
      </c>
      <c r="H215" s="7">
        <v>4.977981752757167</v>
      </c>
      <c r="I215" s="7">
        <v>93.9039756703429</v>
      </c>
      <c r="J215" s="7">
        <v>293.793069762048</v>
      </c>
      <c r="K215" s="7">
        <v>20.35463828206671</v>
      </c>
    </row>
    <row r="216" ht="15.75" customHeight="1">
      <c r="A216" s="3" t="s">
        <v>101</v>
      </c>
      <c r="B216" s="3" t="s">
        <v>150</v>
      </c>
      <c r="C216" s="3">
        <v>5.0</v>
      </c>
      <c r="D216" s="3">
        <v>300.0</v>
      </c>
      <c r="E216" s="3">
        <v>30.0</v>
      </c>
      <c r="F216" s="3">
        <v>512.0</v>
      </c>
      <c r="G216" s="7">
        <v>38.36729948063255</v>
      </c>
      <c r="H216" s="7">
        <v>5.093060547346176</v>
      </c>
      <c r="I216" s="7">
        <v>94.05741406312823</v>
      </c>
      <c r="J216" s="7">
        <v>295.4553190172226</v>
      </c>
      <c r="K216" s="7">
        <v>20.53364974031627</v>
      </c>
    </row>
    <row r="217" ht="15.75" customHeight="1">
      <c r="A217" s="3" t="s">
        <v>101</v>
      </c>
      <c r="B217" s="3" t="s">
        <v>150</v>
      </c>
      <c r="C217" s="3">
        <v>6.0</v>
      </c>
      <c r="D217" s="3">
        <v>300.0</v>
      </c>
      <c r="E217" s="3">
        <v>30.0</v>
      </c>
      <c r="F217" s="3">
        <v>512.0</v>
      </c>
      <c r="G217" s="7">
        <v>38.69548715409009</v>
      </c>
      <c r="H217" s="7">
        <v>5.1985494423861</v>
      </c>
      <c r="I217" s="7">
        <v>94.19806592318147</v>
      </c>
      <c r="J217" s="7">
        <v>296.9790475011326</v>
      </c>
      <c r="K217" s="7">
        <v>20.69774357704505</v>
      </c>
    </row>
    <row r="218" ht="15.75" customHeight="1">
      <c r="A218" s="3" t="s">
        <v>101</v>
      </c>
      <c r="B218" s="3" t="s">
        <v>150</v>
      </c>
      <c r="C218" s="3">
        <v>7.0</v>
      </c>
      <c r="D218" s="3">
        <v>300.0</v>
      </c>
      <c r="E218" s="3">
        <v>30.0</v>
      </c>
      <c r="F218" s="3">
        <v>512.0</v>
      </c>
      <c r="G218" s="7">
        <v>38.99383958450604</v>
      </c>
      <c r="H218" s="7">
        <v>5.294448437876941</v>
      </c>
      <c r="I218" s="7">
        <v>94.32593125050259</v>
      </c>
      <c r="J218" s="7">
        <v>298.3642552137781</v>
      </c>
      <c r="K218" s="7">
        <v>20.84691979225302</v>
      </c>
    </row>
    <row r="219" ht="15.75" customHeight="1">
      <c r="A219" s="3" t="s">
        <v>101</v>
      </c>
      <c r="B219" s="3" t="s">
        <v>150</v>
      </c>
      <c r="C219" s="3">
        <v>8.0</v>
      </c>
      <c r="D219" s="3">
        <v>300.0</v>
      </c>
      <c r="E219" s="3">
        <v>30.0</v>
      </c>
      <c r="F219" s="3">
        <v>512.0</v>
      </c>
      <c r="G219" s="7">
        <v>39.26235677188039</v>
      </c>
      <c r="H219" s="7">
        <v>5.380757533818697</v>
      </c>
      <c r="I219" s="7">
        <v>94.4410100450916</v>
      </c>
      <c r="J219" s="7">
        <v>299.610942155159</v>
      </c>
      <c r="K219" s="7">
        <v>20.9811783859402</v>
      </c>
    </row>
    <row r="220" ht="15.75" customHeight="1">
      <c r="A220" s="3" t="s">
        <v>101</v>
      </c>
      <c r="B220" s="3" t="s">
        <v>150</v>
      </c>
      <c r="C220" s="3">
        <v>9.0</v>
      </c>
      <c r="D220" s="3">
        <v>300.0</v>
      </c>
      <c r="E220" s="3">
        <v>30.0</v>
      </c>
      <c r="F220" s="3">
        <v>512.0</v>
      </c>
      <c r="G220" s="7">
        <v>39.53087395925475</v>
      </c>
      <c r="H220" s="7">
        <v>5.467066629760454</v>
      </c>
      <c r="I220" s="7">
        <v>94.55608883968061</v>
      </c>
      <c r="J220" s="7">
        <v>300.8576290965399</v>
      </c>
      <c r="K220" s="7">
        <v>21.11543697962738</v>
      </c>
    </row>
    <row r="221" ht="15.75" customHeight="1">
      <c r="A221" s="3" t="s">
        <v>101</v>
      </c>
      <c r="B221" s="3" t="s">
        <v>150</v>
      </c>
      <c r="C221" s="3">
        <v>10.0</v>
      </c>
      <c r="D221" s="3">
        <v>300.0</v>
      </c>
      <c r="E221" s="3">
        <v>30.0</v>
      </c>
      <c r="F221" s="3">
        <v>512.0</v>
      </c>
      <c r="G221" s="7">
        <v>39.7993911466291</v>
      </c>
      <c r="H221" s="7">
        <v>5.553375725702209</v>
      </c>
      <c r="I221" s="7">
        <v>94.67116763426962</v>
      </c>
      <c r="J221" s="7">
        <v>302.1043160379208</v>
      </c>
      <c r="K221" s="7">
        <v>21.24969557331455</v>
      </c>
    </row>
    <row r="222" ht="15.75" customHeight="1">
      <c r="A222" s="3" t="s">
        <v>101</v>
      </c>
      <c r="B222" s="3" t="s">
        <v>150</v>
      </c>
      <c r="C222" s="3">
        <v>11.0</v>
      </c>
      <c r="D222" s="3">
        <v>300.0</v>
      </c>
      <c r="E222" s="3">
        <v>30.0</v>
      </c>
      <c r="F222" s="3">
        <v>512.0</v>
      </c>
      <c r="G222" s="7">
        <v>40.06790833400345</v>
      </c>
      <c r="H222" s="7">
        <v>5.639684821643966</v>
      </c>
      <c r="I222" s="7">
        <v>94.78624642885863</v>
      </c>
      <c r="J222" s="7">
        <v>303.3510029793017</v>
      </c>
      <c r="K222" s="7">
        <v>21.38395416700173</v>
      </c>
    </row>
    <row r="223" ht="15.75" customHeight="1">
      <c r="A223" s="3" t="s">
        <v>101</v>
      </c>
      <c r="B223" s="3" t="s">
        <v>150</v>
      </c>
      <c r="C223" s="3">
        <v>12.0</v>
      </c>
      <c r="D223" s="3">
        <v>300.0</v>
      </c>
      <c r="E223" s="3">
        <v>30.0</v>
      </c>
      <c r="F223" s="3">
        <v>512.0</v>
      </c>
      <c r="G223" s="7">
        <v>40.33642552137781</v>
      </c>
      <c r="H223" s="7">
        <v>5.725993917585722</v>
      </c>
      <c r="I223" s="7">
        <v>94.90132522344764</v>
      </c>
      <c r="J223" s="7">
        <v>304.5976899206827</v>
      </c>
      <c r="K223" s="7">
        <v>21.5182127606889</v>
      </c>
    </row>
    <row r="224" ht="15.75" customHeight="1">
      <c r="A224" s="3" t="s">
        <v>101</v>
      </c>
      <c r="B224" s="3" t="s">
        <v>150</v>
      </c>
      <c r="C224" s="3">
        <v>13.0</v>
      </c>
      <c r="D224" s="3">
        <v>300.0</v>
      </c>
      <c r="E224" s="3">
        <v>30.0</v>
      </c>
      <c r="F224" s="3">
        <v>512.0</v>
      </c>
      <c r="G224" s="7">
        <v>40.60494270875216</v>
      </c>
      <c r="H224" s="7">
        <v>5.812303013527479</v>
      </c>
      <c r="I224" s="7">
        <v>95.01640401803664</v>
      </c>
      <c r="J224" s="7">
        <v>305.8443768620636</v>
      </c>
      <c r="K224" s="7">
        <v>21.65247135437608</v>
      </c>
    </row>
    <row r="225" ht="15.75" customHeight="1">
      <c r="A225" s="3" t="s">
        <v>101</v>
      </c>
      <c r="B225" s="3" t="s">
        <v>150</v>
      </c>
      <c r="C225" s="3">
        <v>14.0</v>
      </c>
      <c r="D225" s="3">
        <v>300.0</v>
      </c>
      <c r="E225" s="3">
        <v>30.0</v>
      </c>
      <c r="F225" s="3">
        <v>512.0</v>
      </c>
      <c r="G225" s="7">
        <v>40.90329513916811</v>
      </c>
      <c r="H225" s="7">
        <v>5.908202009018319</v>
      </c>
      <c r="I225" s="7">
        <v>95.14426934535777</v>
      </c>
      <c r="J225" s="7">
        <v>307.2295845747091</v>
      </c>
      <c r="K225" s="7">
        <v>21.80164756958406</v>
      </c>
    </row>
    <row r="226" ht="15.75" customHeight="1">
      <c r="A226" s="3" t="s">
        <v>101</v>
      </c>
      <c r="B226" s="3" t="s">
        <v>150</v>
      </c>
      <c r="C226" s="3">
        <v>15.0</v>
      </c>
      <c r="D226" s="3">
        <v>300.0</v>
      </c>
      <c r="E226" s="3">
        <v>30.0</v>
      </c>
      <c r="F226" s="3">
        <v>512.0</v>
      </c>
      <c r="G226" s="7">
        <v>41.20164756958405</v>
      </c>
      <c r="H226" s="7">
        <v>6.00410100450916</v>
      </c>
      <c r="I226" s="7">
        <v>95.27213467267889</v>
      </c>
      <c r="J226" s="7">
        <v>308.6147922873545</v>
      </c>
      <c r="K226" s="7">
        <v>21.95082378479203</v>
      </c>
    </row>
    <row r="227" ht="15.75" customHeight="1">
      <c r="A227" s="3" t="s">
        <v>101</v>
      </c>
      <c r="B227" s="3" t="s">
        <v>150</v>
      </c>
      <c r="C227" s="3">
        <v>16.0</v>
      </c>
      <c r="D227" s="3">
        <v>300.0</v>
      </c>
      <c r="E227" s="3">
        <v>30.0</v>
      </c>
      <c r="F227" s="3">
        <v>512.0</v>
      </c>
      <c r="G227" s="7">
        <v>41.79835243041595</v>
      </c>
      <c r="H227" s="7">
        <v>6.19589899549084</v>
      </c>
      <c r="I227" s="7">
        <v>95.52786532732112</v>
      </c>
      <c r="J227" s="7">
        <v>311.3852077126455</v>
      </c>
      <c r="K227" s="7">
        <v>22.24917621520797</v>
      </c>
    </row>
    <row r="228" ht="15.75" customHeight="1">
      <c r="A228" s="3" t="s">
        <v>101</v>
      </c>
      <c r="B228" s="3" t="s">
        <v>150</v>
      </c>
      <c r="C228" s="3">
        <v>17.0</v>
      </c>
      <c r="D228" s="3">
        <v>300.0</v>
      </c>
      <c r="E228" s="3">
        <v>30.0</v>
      </c>
      <c r="F228" s="3">
        <v>512.0</v>
      </c>
      <c r="G228" s="7">
        <v>42.0967048608319</v>
      </c>
      <c r="H228" s="7">
        <v>6.291797990981681</v>
      </c>
      <c r="I228" s="7">
        <v>95.65573065464224</v>
      </c>
      <c r="J228" s="7">
        <v>312.7704154252909</v>
      </c>
      <c r="K228" s="7">
        <v>22.39835243041595</v>
      </c>
    </row>
    <row r="229" ht="15.75" customHeight="1">
      <c r="A229" s="3" t="s">
        <v>101</v>
      </c>
      <c r="B229" s="3" t="s">
        <v>150</v>
      </c>
      <c r="C229" s="3">
        <v>18.0</v>
      </c>
      <c r="D229" s="3">
        <v>300.0</v>
      </c>
      <c r="E229" s="3">
        <v>30.0</v>
      </c>
      <c r="F229" s="3">
        <v>512.0</v>
      </c>
      <c r="G229" s="7">
        <v>42.39505729124784</v>
      </c>
      <c r="H229" s="7">
        <v>6.387696986472521</v>
      </c>
      <c r="I229" s="7">
        <v>95.78359598196337</v>
      </c>
      <c r="J229" s="7">
        <v>314.1556231379364</v>
      </c>
      <c r="K229" s="7">
        <v>22.54752864562392</v>
      </c>
    </row>
    <row r="230" ht="15.75" customHeight="1">
      <c r="A230" s="3" t="s">
        <v>101</v>
      </c>
      <c r="B230" s="3" t="s">
        <v>150</v>
      </c>
      <c r="C230" s="3">
        <v>19.0</v>
      </c>
      <c r="D230" s="3">
        <v>300.0</v>
      </c>
      <c r="E230" s="3">
        <v>30.0</v>
      </c>
      <c r="F230" s="3">
        <v>512.0</v>
      </c>
      <c r="G230" s="7">
        <v>42.66357447862219</v>
      </c>
      <c r="H230" s="7">
        <v>6.474006082414277</v>
      </c>
      <c r="I230" s="7">
        <v>95.89867477655237</v>
      </c>
      <c r="J230" s="7">
        <v>315.4023100793173</v>
      </c>
      <c r="K230" s="7">
        <v>22.6817872393111</v>
      </c>
    </row>
    <row r="231" ht="15.75" customHeight="1">
      <c r="A231" s="3" t="s">
        <v>101</v>
      </c>
      <c r="B231" s="3" t="s">
        <v>150</v>
      </c>
      <c r="C231" s="3">
        <v>20.0</v>
      </c>
      <c r="D231" s="3">
        <v>300.0</v>
      </c>
      <c r="E231" s="3">
        <v>30.0</v>
      </c>
      <c r="F231" s="3">
        <v>512.0</v>
      </c>
      <c r="G231" s="7">
        <v>42.93209166599655</v>
      </c>
      <c r="H231" s="7">
        <v>6.560315178356033</v>
      </c>
      <c r="I231" s="7">
        <v>96.01375357114138</v>
      </c>
      <c r="J231" s="7">
        <v>316.6489970206983</v>
      </c>
      <c r="K231" s="7">
        <v>22.81604583299828</v>
      </c>
    </row>
    <row r="232" ht="15.75" customHeight="1">
      <c r="A232" s="3" t="s">
        <v>101</v>
      </c>
      <c r="B232" s="3" t="s">
        <v>150</v>
      </c>
      <c r="C232" s="3">
        <v>21.0</v>
      </c>
      <c r="D232" s="3">
        <v>300.0</v>
      </c>
      <c r="E232" s="3">
        <v>30.0</v>
      </c>
      <c r="F232" s="3">
        <v>512.0</v>
      </c>
      <c r="G232" s="7">
        <v>43.2006088533709</v>
      </c>
      <c r="H232" s="7">
        <v>6.64662427429779</v>
      </c>
      <c r="I232" s="7">
        <v>96.12883236573039</v>
      </c>
      <c r="J232" s="7">
        <v>317.8956839620792</v>
      </c>
      <c r="K232" s="7">
        <v>22.95030442668545</v>
      </c>
    </row>
    <row r="233" ht="15.75" customHeight="1">
      <c r="A233" s="3" t="s">
        <v>101</v>
      </c>
      <c r="B233" s="3" t="s">
        <v>150</v>
      </c>
      <c r="C233" s="3">
        <v>22.0</v>
      </c>
      <c r="D233" s="3">
        <v>300.0</v>
      </c>
      <c r="E233" s="3">
        <v>30.0</v>
      </c>
      <c r="F233" s="3">
        <v>512.0</v>
      </c>
      <c r="G233" s="7">
        <v>43.46912604074525</v>
      </c>
      <c r="H233" s="7">
        <v>6.732933370239546</v>
      </c>
      <c r="I233" s="7">
        <v>96.2439111603194</v>
      </c>
      <c r="J233" s="7">
        <v>319.1423709034601</v>
      </c>
      <c r="K233" s="7">
        <v>23.08456302037263</v>
      </c>
    </row>
    <row r="234" ht="15.75" customHeight="1">
      <c r="A234" s="3" t="s">
        <v>101</v>
      </c>
      <c r="B234" s="3" t="s">
        <v>150</v>
      </c>
      <c r="C234" s="3">
        <v>23.0</v>
      </c>
      <c r="D234" s="3">
        <v>300.0</v>
      </c>
      <c r="E234" s="3">
        <v>30.0</v>
      </c>
      <c r="F234" s="3">
        <v>512.0</v>
      </c>
      <c r="G234" s="7">
        <v>43.73764322811961</v>
      </c>
      <c r="H234" s="7">
        <v>6.819242466181302</v>
      </c>
      <c r="I234" s="7">
        <v>96.35898995490841</v>
      </c>
      <c r="J234" s="7">
        <v>320.389057844841</v>
      </c>
      <c r="K234" s="7">
        <v>23.21882161405981</v>
      </c>
    </row>
    <row r="235" ht="15.75" customHeight="1">
      <c r="A235" s="3" t="s">
        <v>101</v>
      </c>
      <c r="B235" s="3" t="s">
        <v>150</v>
      </c>
      <c r="C235" s="3">
        <v>24.0</v>
      </c>
      <c r="D235" s="3">
        <v>300.0</v>
      </c>
      <c r="E235" s="3">
        <v>30.0</v>
      </c>
      <c r="F235" s="3">
        <v>512.0</v>
      </c>
      <c r="G235" s="7">
        <v>44.00616041549396</v>
      </c>
      <c r="H235" s="7">
        <v>6.905551562123058</v>
      </c>
      <c r="I235" s="7">
        <v>96.47406874949742</v>
      </c>
      <c r="J235" s="7">
        <v>321.6357447862219</v>
      </c>
      <c r="K235" s="7">
        <v>23.35308020774698</v>
      </c>
    </row>
    <row r="236" ht="15.75" customHeight="1">
      <c r="A236" s="3" t="s">
        <v>101</v>
      </c>
      <c r="B236" s="3" t="s">
        <v>150</v>
      </c>
      <c r="C236" s="3">
        <v>25.0</v>
      </c>
      <c r="D236" s="3">
        <v>300.0</v>
      </c>
      <c r="E236" s="3">
        <v>30.0</v>
      </c>
      <c r="F236" s="3">
        <v>512.0</v>
      </c>
      <c r="G236" s="7">
        <v>44.30451284590991</v>
      </c>
      <c r="H236" s="7">
        <v>7.001450557613899</v>
      </c>
      <c r="I236" s="7">
        <v>96.60193407681854</v>
      </c>
      <c r="J236" s="7">
        <v>323.0209524988674</v>
      </c>
      <c r="K236" s="7">
        <v>23.50225642295496</v>
      </c>
    </row>
    <row r="237" ht="15.75" customHeight="1">
      <c r="A237" s="3" t="s">
        <v>101</v>
      </c>
      <c r="B237" s="3" t="s">
        <v>150</v>
      </c>
      <c r="C237" s="3">
        <v>26.0</v>
      </c>
      <c r="D237" s="3">
        <v>300.0</v>
      </c>
      <c r="E237" s="3">
        <v>30.0</v>
      </c>
      <c r="F237" s="3">
        <v>512.0</v>
      </c>
      <c r="G237" s="7">
        <v>44.63270051936745</v>
      </c>
      <c r="H237" s="7">
        <v>7.106939452653823</v>
      </c>
      <c r="I237" s="7">
        <v>96.74258593687178</v>
      </c>
      <c r="J237" s="7">
        <v>324.5446809827774</v>
      </c>
      <c r="K237" s="7">
        <v>23.66635025968373</v>
      </c>
    </row>
    <row r="238" ht="15.75" customHeight="1">
      <c r="A238" s="3" t="s">
        <v>101</v>
      </c>
      <c r="B238" s="3" t="s">
        <v>150</v>
      </c>
      <c r="C238" s="3">
        <v>27.0</v>
      </c>
      <c r="D238" s="3">
        <v>300.0</v>
      </c>
      <c r="E238" s="3">
        <v>30.0</v>
      </c>
      <c r="F238" s="3">
        <v>512.0</v>
      </c>
      <c r="G238" s="7">
        <v>44.99072343586659</v>
      </c>
      <c r="H238" s="7">
        <v>7.222018247242832</v>
      </c>
      <c r="I238" s="7">
        <v>96.89602432965711</v>
      </c>
      <c r="J238" s="7">
        <v>326.206930237952</v>
      </c>
      <c r="K238" s="7">
        <v>23.8453617179333</v>
      </c>
    </row>
    <row r="239" ht="15.75" customHeight="1">
      <c r="A239" s="3" t="s">
        <v>101</v>
      </c>
      <c r="B239" s="3" t="s">
        <v>150</v>
      </c>
      <c r="C239" s="3">
        <v>28.0</v>
      </c>
      <c r="D239" s="3">
        <v>300.0</v>
      </c>
      <c r="E239" s="3">
        <v>30.0</v>
      </c>
      <c r="F239" s="3">
        <v>512.0</v>
      </c>
      <c r="G239" s="7">
        <v>45.40841683844891</v>
      </c>
      <c r="H239" s="7">
        <v>7.356276840930009</v>
      </c>
      <c r="I239" s="7">
        <v>97.07503578790669</v>
      </c>
      <c r="J239" s="7">
        <v>328.1462210356557</v>
      </c>
      <c r="K239" s="7">
        <v>24.05420841922446</v>
      </c>
    </row>
    <row r="240" ht="15.75" customHeight="1">
      <c r="A240" s="3" t="s">
        <v>101</v>
      </c>
      <c r="B240" s="3" t="s">
        <v>150</v>
      </c>
      <c r="C240" s="3">
        <v>29.0</v>
      </c>
      <c r="D240" s="3">
        <v>300.0</v>
      </c>
      <c r="E240" s="3">
        <v>30.0</v>
      </c>
      <c r="F240" s="3">
        <v>512.0</v>
      </c>
      <c r="G240" s="7">
        <v>45.91561597015603</v>
      </c>
      <c r="H240" s="7">
        <v>7.519305133264437</v>
      </c>
      <c r="I240" s="7">
        <v>97.29240684435258</v>
      </c>
      <c r="J240" s="7">
        <v>330.501074147153</v>
      </c>
      <c r="K240" s="7">
        <v>24.30780798507801</v>
      </c>
    </row>
    <row r="241" ht="15.75" customHeight="1">
      <c r="A241" s="3" t="s">
        <v>101</v>
      </c>
      <c r="B241" s="3" t="s">
        <v>150</v>
      </c>
      <c r="C241" s="3">
        <v>30.0</v>
      </c>
      <c r="D241" s="3">
        <v>300.0</v>
      </c>
      <c r="E241" s="3">
        <v>30.0</v>
      </c>
      <c r="F241" s="3">
        <v>512.0</v>
      </c>
      <c r="G241" s="7">
        <v>46.6316618031543</v>
      </c>
      <c r="H241" s="7">
        <v>7.749462722442454</v>
      </c>
      <c r="I241" s="7">
        <v>97.59928362992328</v>
      </c>
      <c r="J241" s="7">
        <v>333.8255726575021</v>
      </c>
      <c r="K241" s="7">
        <v>24.66583090157715</v>
      </c>
    </row>
    <row r="242" ht="15.75" customHeight="1">
      <c r="A242" s="3" t="s">
        <v>117</v>
      </c>
      <c r="B242" s="3" t="s">
        <v>151</v>
      </c>
      <c r="C242" s="3">
        <v>1.0</v>
      </c>
      <c r="D242" s="3">
        <v>300.0</v>
      </c>
      <c r="E242" s="3">
        <v>30.0</v>
      </c>
      <c r="F242" s="3">
        <v>512.0</v>
      </c>
      <c r="G242" s="7">
        <v>15.48399000590367</v>
      </c>
      <c r="H242" s="7">
        <v>2.350179092519182</v>
      </c>
      <c r="I242" s="7">
        <v>97.5836318208653</v>
      </c>
      <c r="J242" s="7">
        <v>288.0071637007673</v>
      </c>
      <c r="K242" s="7">
        <v>19.61744273424979</v>
      </c>
    </row>
    <row r="243" ht="15.75" customHeight="1">
      <c r="A243" s="3" t="s">
        <v>117</v>
      </c>
      <c r="B243" s="3" t="s">
        <v>151</v>
      </c>
      <c r="C243" s="3">
        <v>2.0</v>
      </c>
      <c r="D243" s="3">
        <v>300.0</v>
      </c>
      <c r="E243" s="3">
        <v>30.0</v>
      </c>
      <c r="F243" s="3">
        <v>512.0</v>
      </c>
      <c r="G243" s="7">
        <v>15.76529372601013</v>
      </c>
      <c r="H243" s="7">
        <v>2.426898288911854</v>
      </c>
      <c r="I243" s="7">
        <v>97.71149714818642</v>
      </c>
      <c r="J243" s="7">
        <v>291.0759315564742</v>
      </c>
      <c r="K243" s="7">
        <v>19.9498925852847</v>
      </c>
    </row>
    <row r="244" ht="15.75" customHeight="1">
      <c r="A244" s="3" t="s">
        <v>117</v>
      </c>
      <c r="B244" s="3" t="s">
        <v>151</v>
      </c>
      <c r="C244" s="3">
        <v>3.0</v>
      </c>
      <c r="D244" s="3">
        <v>300.0</v>
      </c>
      <c r="E244" s="3">
        <v>30.0</v>
      </c>
      <c r="F244" s="3">
        <v>512.0</v>
      </c>
      <c r="G244" s="7">
        <v>15.96455052775221</v>
      </c>
      <c r="H244" s="7">
        <v>2.48124105302333</v>
      </c>
      <c r="I244" s="7">
        <v>97.80206842170556</v>
      </c>
      <c r="J244" s="7">
        <v>293.2496421209332</v>
      </c>
      <c r="K244" s="7">
        <v>20.18537789643443</v>
      </c>
    </row>
    <row r="245" ht="15.75" customHeight="1">
      <c r="A245" s="3" t="s">
        <v>117</v>
      </c>
      <c r="B245" s="3" t="s">
        <v>151</v>
      </c>
      <c r="C245" s="3">
        <v>4.0</v>
      </c>
      <c r="D245" s="3">
        <v>300.0</v>
      </c>
      <c r="E245" s="3">
        <v>30.0</v>
      </c>
      <c r="F245" s="3">
        <v>512.0</v>
      </c>
      <c r="G245" s="7">
        <v>16.12864436448098</v>
      </c>
      <c r="H245" s="7">
        <v>2.525993917585723</v>
      </c>
      <c r="I245" s="7">
        <v>97.87665652930954</v>
      </c>
      <c r="J245" s="7">
        <v>295.0397567034289</v>
      </c>
      <c r="K245" s="7">
        <v>20.3793069762048</v>
      </c>
    </row>
    <row r="246" ht="15.75" customHeight="1">
      <c r="A246" s="3" t="s">
        <v>117</v>
      </c>
      <c r="B246" s="3" t="s">
        <v>151</v>
      </c>
      <c r="C246" s="3">
        <v>5.0</v>
      </c>
      <c r="D246" s="3">
        <v>300.0</v>
      </c>
      <c r="E246" s="3">
        <v>30.0</v>
      </c>
      <c r="F246" s="3">
        <v>512.0</v>
      </c>
      <c r="G246" s="7">
        <v>16.26929622453422</v>
      </c>
      <c r="H246" s="7">
        <v>2.564353515782059</v>
      </c>
      <c r="I246" s="7">
        <v>97.9405891929701</v>
      </c>
      <c r="J246" s="7">
        <v>296.5741406312824</v>
      </c>
      <c r="K246" s="7">
        <v>20.54553190172225</v>
      </c>
    </row>
    <row r="247" ht="15.75" customHeight="1">
      <c r="A247" s="3" t="s">
        <v>117</v>
      </c>
      <c r="B247" s="3" t="s">
        <v>151</v>
      </c>
      <c r="C247" s="3">
        <v>6.0</v>
      </c>
      <c r="D247" s="3">
        <v>300.0</v>
      </c>
      <c r="E247" s="3">
        <v>30.0</v>
      </c>
      <c r="F247" s="3">
        <v>512.0</v>
      </c>
      <c r="G247" s="7">
        <v>16.39822709624968</v>
      </c>
      <c r="H247" s="7">
        <v>2.599516480795367</v>
      </c>
      <c r="I247" s="7">
        <v>97.99919413465895</v>
      </c>
      <c r="J247" s="7">
        <v>297.9806592318147</v>
      </c>
      <c r="K247" s="7">
        <v>20.69790475011326</v>
      </c>
    </row>
    <row r="248" ht="15.75" customHeight="1">
      <c r="A248" s="3" t="s">
        <v>117</v>
      </c>
      <c r="B248" s="3" t="s">
        <v>151</v>
      </c>
      <c r="C248" s="3">
        <v>7.0</v>
      </c>
      <c r="D248" s="3">
        <v>300.0</v>
      </c>
      <c r="E248" s="3">
        <v>30.0</v>
      </c>
      <c r="F248" s="3">
        <v>512.0</v>
      </c>
      <c r="G248" s="7">
        <v>16.51543697962737</v>
      </c>
      <c r="H248" s="7">
        <v>2.631482812625647</v>
      </c>
      <c r="I248" s="7">
        <v>98.05247135437608</v>
      </c>
      <c r="J248" s="7">
        <v>299.2593125050259</v>
      </c>
      <c r="K248" s="7">
        <v>20.83642552137781</v>
      </c>
    </row>
    <row r="249" ht="15.75" customHeight="1">
      <c r="A249" s="3" t="s">
        <v>117</v>
      </c>
      <c r="B249" s="3" t="s">
        <v>151</v>
      </c>
      <c r="C249" s="3">
        <v>8.0</v>
      </c>
      <c r="D249" s="3">
        <v>300.0</v>
      </c>
      <c r="E249" s="3">
        <v>30.0</v>
      </c>
      <c r="F249" s="3">
        <v>512.0</v>
      </c>
      <c r="G249" s="7">
        <v>16.6209258746673</v>
      </c>
      <c r="H249" s="7">
        <v>2.660252511272899</v>
      </c>
      <c r="I249" s="7">
        <v>98.1004208521215</v>
      </c>
      <c r="J249" s="7">
        <v>300.410100450916</v>
      </c>
      <c r="K249" s="7">
        <v>20.9610942155159</v>
      </c>
    </row>
    <row r="250" ht="15.75" customHeight="1">
      <c r="A250" s="3" t="s">
        <v>117</v>
      </c>
      <c r="B250" s="3" t="s">
        <v>151</v>
      </c>
      <c r="C250" s="3">
        <v>9.0</v>
      </c>
      <c r="D250" s="3">
        <v>300.0</v>
      </c>
      <c r="E250" s="3">
        <v>30.0</v>
      </c>
      <c r="F250" s="3">
        <v>512.0</v>
      </c>
      <c r="G250" s="7">
        <v>16.72641476970722</v>
      </c>
      <c r="H250" s="7">
        <v>2.689022209920151</v>
      </c>
      <c r="I250" s="7">
        <v>98.14837034986692</v>
      </c>
      <c r="J250" s="7">
        <v>301.560888396806</v>
      </c>
      <c r="K250" s="7">
        <v>21.08576290965399</v>
      </c>
    </row>
    <row r="251" ht="15.75" customHeight="1">
      <c r="A251" s="3" t="s">
        <v>117</v>
      </c>
      <c r="B251" s="3" t="s">
        <v>151</v>
      </c>
      <c r="C251" s="3">
        <v>10.0</v>
      </c>
      <c r="D251" s="3">
        <v>300.0</v>
      </c>
      <c r="E251" s="3">
        <v>30.0</v>
      </c>
      <c r="F251" s="3">
        <v>512.0</v>
      </c>
      <c r="G251" s="7">
        <v>16.83190366474714</v>
      </c>
      <c r="H251" s="7">
        <v>2.717791908567403</v>
      </c>
      <c r="I251" s="7">
        <v>98.19631984761234</v>
      </c>
      <c r="J251" s="7">
        <v>302.7116763426961</v>
      </c>
      <c r="K251" s="7">
        <v>21.21043160379208</v>
      </c>
    </row>
    <row r="252" ht="15.75" customHeight="1">
      <c r="A252" s="3" t="s">
        <v>117</v>
      </c>
      <c r="B252" s="3" t="s">
        <v>151</v>
      </c>
      <c r="C252" s="3">
        <v>11.0</v>
      </c>
      <c r="D252" s="3">
        <v>300.0</v>
      </c>
      <c r="E252" s="3">
        <v>30.0</v>
      </c>
      <c r="F252" s="3">
        <v>512.0</v>
      </c>
      <c r="G252" s="7">
        <v>16.93739255978707</v>
      </c>
      <c r="H252" s="7">
        <v>2.746561607214655</v>
      </c>
      <c r="I252" s="7">
        <v>98.24426934535776</v>
      </c>
      <c r="J252" s="7">
        <v>303.8624642885862</v>
      </c>
      <c r="K252" s="7">
        <v>21.33510029793018</v>
      </c>
    </row>
    <row r="253" ht="15.75" customHeight="1">
      <c r="A253" s="3" t="s">
        <v>117</v>
      </c>
      <c r="B253" s="3" t="s">
        <v>151</v>
      </c>
      <c r="C253" s="3">
        <v>12.0</v>
      </c>
      <c r="D253" s="3">
        <v>300.0</v>
      </c>
      <c r="E253" s="3">
        <v>30.0</v>
      </c>
      <c r="F253" s="3">
        <v>512.0</v>
      </c>
      <c r="G253" s="7">
        <v>17.04288145482699</v>
      </c>
      <c r="H253" s="7">
        <v>2.775331305861907</v>
      </c>
      <c r="I253" s="7">
        <v>98.29221884310319</v>
      </c>
      <c r="J253" s="7">
        <v>305.0132522344763</v>
      </c>
      <c r="K253" s="7">
        <v>21.45976899206827</v>
      </c>
    </row>
    <row r="254" ht="15.75" customHeight="1">
      <c r="A254" s="3" t="s">
        <v>117</v>
      </c>
      <c r="B254" s="3" t="s">
        <v>151</v>
      </c>
      <c r="C254" s="3">
        <v>13.0</v>
      </c>
      <c r="D254" s="3">
        <v>300.0</v>
      </c>
      <c r="E254" s="3">
        <v>30.0</v>
      </c>
      <c r="F254" s="3">
        <v>512.0</v>
      </c>
      <c r="G254" s="7">
        <v>17.14837034986692</v>
      </c>
      <c r="H254" s="7">
        <v>2.804101004509159</v>
      </c>
      <c r="I254" s="7">
        <v>98.3401683408486</v>
      </c>
      <c r="J254" s="7">
        <v>306.1640401803664</v>
      </c>
      <c r="K254" s="7">
        <v>21.58443768620636</v>
      </c>
    </row>
    <row r="255" ht="15.75" customHeight="1">
      <c r="A255" s="3" t="s">
        <v>117</v>
      </c>
      <c r="B255" s="3" t="s">
        <v>151</v>
      </c>
      <c r="C255" s="3">
        <v>14.0</v>
      </c>
      <c r="D255" s="3">
        <v>300.0</v>
      </c>
      <c r="E255" s="3">
        <v>30.0</v>
      </c>
      <c r="F255" s="3">
        <v>512.0</v>
      </c>
      <c r="G255" s="7">
        <v>17.26558023324461</v>
      </c>
      <c r="H255" s="7">
        <v>2.83606733633944</v>
      </c>
      <c r="I255" s="7">
        <v>98.39344556056574</v>
      </c>
      <c r="J255" s="7">
        <v>307.4426934535776</v>
      </c>
      <c r="K255" s="7">
        <v>21.72295845747091</v>
      </c>
    </row>
    <row r="256" ht="15.75" customHeight="1">
      <c r="A256" s="3" t="s">
        <v>117</v>
      </c>
      <c r="B256" s="3" t="s">
        <v>151</v>
      </c>
      <c r="C256" s="3">
        <v>15.0</v>
      </c>
      <c r="D256" s="3">
        <v>300.0</v>
      </c>
      <c r="E256" s="3">
        <v>30.0</v>
      </c>
      <c r="F256" s="3">
        <v>512.0</v>
      </c>
      <c r="G256" s="7">
        <v>17.38279011662231</v>
      </c>
      <c r="H256" s="7">
        <v>2.86803366816972</v>
      </c>
      <c r="I256" s="7">
        <v>98.44672278028287</v>
      </c>
      <c r="J256" s="7">
        <v>308.7213467267888</v>
      </c>
      <c r="K256" s="7">
        <v>21.86147922873545</v>
      </c>
    </row>
    <row r="257" ht="15.75" customHeight="1">
      <c r="A257" s="3" t="s">
        <v>117</v>
      </c>
      <c r="B257" s="3" t="s">
        <v>151</v>
      </c>
      <c r="C257" s="3">
        <v>16.0</v>
      </c>
      <c r="D257" s="3">
        <v>300.0</v>
      </c>
      <c r="E257" s="3">
        <v>30.0</v>
      </c>
      <c r="F257" s="3">
        <v>512.0</v>
      </c>
      <c r="G257" s="7">
        <v>17.61720988337769</v>
      </c>
      <c r="H257" s="7">
        <v>2.93196633183028</v>
      </c>
      <c r="I257" s="7">
        <v>98.55327721971713</v>
      </c>
      <c r="J257" s="7">
        <v>311.2786532732112</v>
      </c>
      <c r="K257" s="7">
        <v>22.13852077126455</v>
      </c>
    </row>
    <row r="258" ht="15.75" customHeight="1">
      <c r="A258" s="3" t="s">
        <v>117</v>
      </c>
      <c r="B258" s="3" t="s">
        <v>151</v>
      </c>
      <c r="C258" s="3">
        <v>17.0</v>
      </c>
      <c r="D258" s="3">
        <v>300.0</v>
      </c>
      <c r="E258" s="3">
        <v>30.0</v>
      </c>
      <c r="F258" s="3">
        <v>512.0</v>
      </c>
      <c r="G258" s="7">
        <v>17.73441976675539</v>
      </c>
      <c r="H258" s="7">
        <v>2.96393266366056</v>
      </c>
      <c r="I258" s="7">
        <v>98.60655443943426</v>
      </c>
      <c r="J258" s="7">
        <v>312.5573065464224</v>
      </c>
      <c r="K258" s="7">
        <v>22.27704154252909</v>
      </c>
    </row>
    <row r="259" ht="15.75" customHeight="1">
      <c r="A259" s="3" t="s">
        <v>117</v>
      </c>
      <c r="B259" s="3" t="s">
        <v>151</v>
      </c>
      <c r="C259" s="3">
        <v>18.0</v>
      </c>
      <c r="D259" s="3">
        <v>300.0</v>
      </c>
      <c r="E259" s="3">
        <v>30.0</v>
      </c>
      <c r="F259" s="3">
        <v>512.0</v>
      </c>
      <c r="G259" s="7">
        <v>17.85162965013308</v>
      </c>
      <c r="H259" s="7">
        <v>2.99589899549084</v>
      </c>
      <c r="I259" s="7">
        <v>98.6598316591514</v>
      </c>
      <c r="J259" s="7">
        <v>313.8359598196336</v>
      </c>
      <c r="K259" s="7">
        <v>22.41556231379364</v>
      </c>
    </row>
    <row r="260" ht="15.75" customHeight="1">
      <c r="A260" s="3" t="s">
        <v>117</v>
      </c>
      <c r="B260" s="3" t="s">
        <v>151</v>
      </c>
      <c r="C260" s="3">
        <v>19.0</v>
      </c>
      <c r="D260" s="3">
        <v>300.0</v>
      </c>
      <c r="E260" s="3">
        <v>30.0</v>
      </c>
      <c r="F260" s="3">
        <v>512.0</v>
      </c>
      <c r="G260" s="7">
        <v>17.95711854517301</v>
      </c>
      <c r="H260" s="7">
        <v>3.024668694138092</v>
      </c>
      <c r="I260" s="7">
        <v>98.70778115689681</v>
      </c>
      <c r="J260" s="7">
        <v>314.9867477655237</v>
      </c>
      <c r="K260" s="7">
        <v>22.54023100793173</v>
      </c>
    </row>
    <row r="261" ht="15.75" customHeight="1">
      <c r="A261" s="3" t="s">
        <v>117</v>
      </c>
      <c r="B261" s="3" t="s">
        <v>151</v>
      </c>
      <c r="C261" s="3">
        <v>20.0</v>
      </c>
      <c r="D261" s="3">
        <v>300.0</v>
      </c>
      <c r="E261" s="3">
        <v>30.0</v>
      </c>
      <c r="F261" s="3">
        <v>512.0</v>
      </c>
      <c r="G261" s="7">
        <v>18.06260744021293</v>
      </c>
      <c r="H261" s="7">
        <v>3.053438392785345</v>
      </c>
      <c r="I261" s="7">
        <v>98.75573065464224</v>
      </c>
      <c r="J261" s="7">
        <v>316.1375357114138</v>
      </c>
      <c r="K261" s="7">
        <v>22.66489970206982</v>
      </c>
    </row>
    <row r="262" ht="15.75" customHeight="1">
      <c r="A262" s="3" t="s">
        <v>117</v>
      </c>
      <c r="B262" s="3" t="s">
        <v>151</v>
      </c>
      <c r="C262" s="3">
        <v>21.0</v>
      </c>
      <c r="D262" s="3">
        <v>300.0</v>
      </c>
      <c r="E262" s="3">
        <v>30.0</v>
      </c>
      <c r="F262" s="3">
        <v>512.0</v>
      </c>
      <c r="G262" s="7">
        <v>18.16809633525286</v>
      </c>
      <c r="H262" s="7">
        <v>3.082208091432597</v>
      </c>
      <c r="I262" s="7">
        <v>98.80368015238766</v>
      </c>
      <c r="J262" s="7">
        <v>317.2883236573039</v>
      </c>
      <c r="K262" s="7">
        <v>22.78956839620792</v>
      </c>
    </row>
    <row r="263" ht="15.75" customHeight="1">
      <c r="A263" s="3" t="s">
        <v>117</v>
      </c>
      <c r="B263" s="3" t="s">
        <v>151</v>
      </c>
      <c r="C263" s="3">
        <v>22.0</v>
      </c>
      <c r="D263" s="3">
        <v>300.0</v>
      </c>
      <c r="E263" s="3">
        <v>30.0</v>
      </c>
      <c r="F263" s="3">
        <v>512.0</v>
      </c>
      <c r="G263" s="7">
        <v>18.27358523029278</v>
      </c>
      <c r="H263" s="7">
        <v>3.110977790079849</v>
      </c>
      <c r="I263" s="7">
        <v>98.85162965013308</v>
      </c>
      <c r="J263" s="7">
        <v>318.439111603194</v>
      </c>
      <c r="K263" s="7">
        <v>22.91423709034601</v>
      </c>
    </row>
    <row r="264" ht="15.75" customHeight="1">
      <c r="A264" s="3" t="s">
        <v>117</v>
      </c>
      <c r="B264" s="3" t="s">
        <v>151</v>
      </c>
      <c r="C264" s="3">
        <v>23.0</v>
      </c>
      <c r="D264" s="3">
        <v>300.0</v>
      </c>
      <c r="E264" s="3">
        <v>30.0</v>
      </c>
      <c r="F264" s="3">
        <v>512.0</v>
      </c>
      <c r="G264" s="7">
        <v>18.3790741253327</v>
      </c>
      <c r="H264" s="7">
        <v>3.139747488727101</v>
      </c>
      <c r="I264" s="7">
        <v>98.8995791478785</v>
      </c>
      <c r="J264" s="7">
        <v>319.589899549084</v>
      </c>
      <c r="K264" s="7">
        <v>23.0389057844841</v>
      </c>
    </row>
    <row r="265" ht="15.75" customHeight="1">
      <c r="A265" s="3" t="s">
        <v>117</v>
      </c>
      <c r="B265" s="3" t="s">
        <v>151</v>
      </c>
      <c r="C265" s="3">
        <v>24.0</v>
      </c>
      <c r="D265" s="3">
        <v>300.0</v>
      </c>
      <c r="E265" s="3">
        <v>30.0</v>
      </c>
      <c r="F265" s="3">
        <v>512.0</v>
      </c>
      <c r="G265" s="7">
        <v>18.48456302037263</v>
      </c>
      <c r="H265" s="7">
        <v>3.168517187374353</v>
      </c>
      <c r="I265" s="7">
        <v>98.94752864562392</v>
      </c>
      <c r="J265" s="7">
        <v>320.7406874949741</v>
      </c>
      <c r="K265" s="7">
        <v>23.16357447862219</v>
      </c>
    </row>
    <row r="266" ht="15.75" customHeight="1">
      <c r="A266" s="3" t="s">
        <v>117</v>
      </c>
      <c r="B266" s="3" t="s">
        <v>151</v>
      </c>
      <c r="C266" s="3">
        <v>25.0</v>
      </c>
      <c r="D266" s="3">
        <v>300.0</v>
      </c>
      <c r="E266" s="3">
        <v>30.0</v>
      </c>
      <c r="F266" s="3">
        <v>512.0</v>
      </c>
      <c r="G266" s="7">
        <v>18.60177290375032</v>
      </c>
      <c r="H266" s="7">
        <v>3.200483519204633</v>
      </c>
      <c r="I266" s="7">
        <v>99.00080586534105</v>
      </c>
      <c r="J266" s="7">
        <v>322.0193407681853</v>
      </c>
      <c r="K266" s="7">
        <v>23.30209524988674</v>
      </c>
    </row>
    <row r="267" ht="15.75" customHeight="1">
      <c r="A267" s="3" t="s">
        <v>117</v>
      </c>
      <c r="B267" s="3" t="s">
        <v>151</v>
      </c>
      <c r="C267" s="3">
        <v>26.0</v>
      </c>
      <c r="D267" s="3">
        <v>300.0</v>
      </c>
      <c r="E267" s="3">
        <v>30.0</v>
      </c>
      <c r="F267" s="3">
        <v>512.0</v>
      </c>
      <c r="G267" s="7">
        <v>18.73070377546578</v>
      </c>
      <c r="H267" s="7">
        <v>3.235646484217941</v>
      </c>
      <c r="I267" s="7">
        <v>99.0594108070299</v>
      </c>
      <c r="J267" s="7">
        <v>323.4258593687176</v>
      </c>
      <c r="K267" s="7">
        <v>23.45446809827775</v>
      </c>
    </row>
    <row r="268" ht="15.75" customHeight="1">
      <c r="A268" s="3" t="s">
        <v>117</v>
      </c>
      <c r="B268" s="3" t="s">
        <v>151</v>
      </c>
      <c r="C268" s="3">
        <v>27.0</v>
      </c>
      <c r="D268" s="3">
        <v>300.0</v>
      </c>
      <c r="E268" s="3">
        <v>30.0</v>
      </c>
      <c r="F268" s="3">
        <v>512.0</v>
      </c>
      <c r="G268" s="7">
        <v>18.87135563551902</v>
      </c>
      <c r="H268" s="7">
        <v>3.274006082414277</v>
      </c>
      <c r="I268" s="7">
        <v>99.12334347069046</v>
      </c>
      <c r="J268" s="7">
        <v>324.9602432965711</v>
      </c>
      <c r="K268" s="7">
        <v>23.6206930237952</v>
      </c>
    </row>
    <row r="269" ht="15.75" customHeight="1">
      <c r="A269" s="3" t="s">
        <v>117</v>
      </c>
      <c r="B269" s="3" t="s">
        <v>151</v>
      </c>
      <c r="C269" s="3">
        <v>28.0</v>
      </c>
      <c r="D269" s="3">
        <v>300.0</v>
      </c>
      <c r="E269" s="3">
        <v>30.0</v>
      </c>
      <c r="F269" s="3">
        <v>512.0</v>
      </c>
      <c r="G269" s="7">
        <v>19.03544947224779</v>
      </c>
      <c r="H269" s="7">
        <v>3.318758946976669</v>
      </c>
      <c r="I269" s="7">
        <v>99.19793157829444</v>
      </c>
      <c r="J269" s="7">
        <v>326.7503578790668</v>
      </c>
      <c r="K269" s="7">
        <v>23.81462210356557</v>
      </c>
    </row>
    <row r="270" ht="15.75" customHeight="1">
      <c r="A270" s="3" t="s">
        <v>117</v>
      </c>
      <c r="B270" s="3" t="s">
        <v>151</v>
      </c>
      <c r="C270" s="3">
        <v>29.0</v>
      </c>
      <c r="D270" s="3">
        <v>300.0</v>
      </c>
      <c r="E270" s="3">
        <v>30.0</v>
      </c>
      <c r="F270" s="3">
        <v>512.0</v>
      </c>
      <c r="G270" s="7">
        <v>19.23470627398987</v>
      </c>
      <c r="H270" s="7">
        <v>3.373101711088146</v>
      </c>
      <c r="I270" s="7">
        <v>99.28850285181358</v>
      </c>
      <c r="J270" s="7">
        <v>328.9240684435258</v>
      </c>
      <c r="K270" s="7">
        <v>24.0501074147153</v>
      </c>
    </row>
    <row r="271" ht="15.75" customHeight="1">
      <c r="A271" s="3" t="s">
        <v>117</v>
      </c>
      <c r="B271" s="3" t="s">
        <v>151</v>
      </c>
      <c r="C271" s="3">
        <v>30.0</v>
      </c>
      <c r="D271" s="3">
        <v>300.0</v>
      </c>
      <c r="E271" s="3">
        <v>30.0</v>
      </c>
      <c r="F271" s="3">
        <v>512.0</v>
      </c>
      <c r="G271" s="7">
        <v>19.51600999409633</v>
      </c>
      <c r="H271" s="7">
        <v>3.449820907480818</v>
      </c>
      <c r="I271" s="7">
        <v>99.4163681791347</v>
      </c>
      <c r="J271" s="7">
        <v>331.9928362992327</v>
      </c>
      <c r="K271" s="7">
        <v>24.38255726575021</v>
      </c>
    </row>
    <row r="272" ht="15.75" customHeight="1">
      <c r="A272" s="3" t="s">
        <v>117</v>
      </c>
      <c r="B272" s="3" t="s">
        <v>152</v>
      </c>
      <c r="C272" s="3">
        <v>1.0</v>
      </c>
      <c r="D272" s="3">
        <v>300.0</v>
      </c>
      <c r="E272" s="3">
        <v>30.0</v>
      </c>
      <c r="F272" s="3">
        <v>512.0</v>
      </c>
      <c r="G272" s="7">
        <v>18.43416909842285</v>
      </c>
      <c r="H272" s="7">
        <v>2.866905456692243</v>
      </c>
      <c r="I272" s="7">
        <v>96.80035818503836</v>
      </c>
      <c r="J272" s="7">
        <v>231.6726364173061</v>
      </c>
      <c r="K272" s="7">
        <v>19.00071637007673</v>
      </c>
    </row>
    <row r="273" ht="15.75" customHeight="1">
      <c r="A273" s="3" t="s">
        <v>117</v>
      </c>
      <c r="B273" s="3" t="s">
        <v>152</v>
      </c>
      <c r="C273" s="3">
        <v>2.0</v>
      </c>
      <c r="D273" s="3">
        <v>300.0</v>
      </c>
      <c r="E273" s="3">
        <v>30.0</v>
      </c>
      <c r="F273" s="3">
        <v>512.0</v>
      </c>
      <c r="G273" s="7">
        <v>18.79219201492199</v>
      </c>
      <c r="H273" s="7">
        <v>2.969197718549139</v>
      </c>
      <c r="I273" s="7">
        <v>96.95379657782371</v>
      </c>
      <c r="J273" s="7">
        <v>234.2299429637285</v>
      </c>
      <c r="K273" s="7">
        <v>19.30759315564742</v>
      </c>
    </row>
    <row r="274" ht="15.75" customHeight="1">
      <c r="A274" s="3" t="s">
        <v>117</v>
      </c>
      <c r="B274" s="3" t="s">
        <v>152</v>
      </c>
      <c r="C274" s="3">
        <v>3.0</v>
      </c>
      <c r="D274" s="3">
        <v>300.0</v>
      </c>
      <c r="E274" s="3">
        <v>30.0</v>
      </c>
      <c r="F274" s="3">
        <v>512.0</v>
      </c>
      <c r="G274" s="7">
        <v>19.04579158077554</v>
      </c>
      <c r="H274" s="7">
        <v>3.04165473736444</v>
      </c>
      <c r="I274" s="7">
        <v>97.06248210604667</v>
      </c>
      <c r="J274" s="7">
        <v>236.041368434111</v>
      </c>
      <c r="K274" s="7">
        <v>19.52496421209332</v>
      </c>
    </row>
    <row r="275" ht="15.75" customHeight="1">
      <c r="A275" s="3" t="s">
        <v>117</v>
      </c>
      <c r="B275" s="3" t="s">
        <v>152</v>
      </c>
      <c r="C275" s="3">
        <v>4.0</v>
      </c>
      <c r="D275" s="3">
        <v>300.0</v>
      </c>
      <c r="E275" s="3">
        <v>30.0</v>
      </c>
      <c r="F275" s="3">
        <v>512.0</v>
      </c>
      <c r="G275" s="7">
        <v>19.2546382820667</v>
      </c>
      <c r="H275" s="7">
        <v>3.10132522344763</v>
      </c>
      <c r="I275" s="7">
        <v>97.15198783517145</v>
      </c>
      <c r="J275" s="7">
        <v>237.5331305861908</v>
      </c>
      <c r="K275" s="7">
        <v>19.70397567034289</v>
      </c>
    </row>
    <row r="276" ht="15.75" customHeight="1">
      <c r="A276" s="3" t="s">
        <v>117</v>
      </c>
      <c r="B276" s="3" t="s">
        <v>152</v>
      </c>
      <c r="C276" s="3">
        <v>5.0</v>
      </c>
      <c r="D276" s="3">
        <v>300.0</v>
      </c>
      <c r="E276" s="3">
        <v>30.0</v>
      </c>
      <c r="F276" s="3">
        <v>512.0</v>
      </c>
      <c r="G276" s="7">
        <v>19.43364974031627</v>
      </c>
      <c r="H276" s="7">
        <v>3.152471354376079</v>
      </c>
      <c r="I276" s="7">
        <v>97.22870703156413</v>
      </c>
      <c r="J276" s="7">
        <v>238.811783859402</v>
      </c>
      <c r="K276" s="7">
        <v>19.85741406312824</v>
      </c>
    </row>
    <row r="277" ht="15.75" customHeight="1">
      <c r="A277" s="3" t="s">
        <v>117</v>
      </c>
      <c r="B277" s="3" t="s">
        <v>152</v>
      </c>
      <c r="C277" s="3">
        <v>6.0</v>
      </c>
      <c r="D277" s="3">
        <v>300.0</v>
      </c>
      <c r="E277" s="3">
        <v>30.0</v>
      </c>
      <c r="F277" s="3">
        <v>512.0</v>
      </c>
      <c r="G277" s="7">
        <v>19.59774357704504</v>
      </c>
      <c r="H277" s="7">
        <v>3.199355307727156</v>
      </c>
      <c r="I277" s="7">
        <v>97.29903296159074</v>
      </c>
      <c r="J277" s="7">
        <v>239.9838826931789</v>
      </c>
      <c r="K277" s="7">
        <v>19.99806592318147</v>
      </c>
    </row>
    <row r="278" ht="15.75" customHeight="1">
      <c r="A278" s="3" t="s">
        <v>117</v>
      </c>
      <c r="B278" s="3" t="s">
        <v>152</v>
      </c>
      <c r="C278" s="3">
        <v>7.0</v>
      </c>
      <c r="D278" s="3">
        <v>300.0</v>
      </c>
      <c r="E278" s="3">
        <v>30.0</v>
      </c>
      <c r="F278" s="3">
        <v>512.0</v>
      </c>
      <c r="G278" s="7">
        <v>19.74691979225302</v>
      </c>
      <c r="H278" s="7">
        <v>3.241977083500863</v>
      </c>
      <c r="I278" s="7">
        <v>97.3629656252513</v>
      </c>
      <c r="J278" s="7">
        <v>241.0494270875216</v>
      </c>
      <c r="K278" s="7">
        <v>20.12593125050259</v>
      </c>
    </row>
    <row r="279" ht="15.75" customHeight="1">
      <c r="A279" s="3" t="s">
        <v>117</v>
      </c>
      <c r="B279" s="3" t="s">
        <v>152</v>
      </c>
      <c r="C279" s="3">
        <v>8.0</v>
      </c>
      <c r="D279" s="3">
        <v>300.0</v>
      </c>
      <c r="E279" s="3">
        <v>30.0</v>
      </c>
      <c r="F279" s="3">
        <v>512.0</v>
      </c>
      <c r="G279" s="7">
        <v>19.8811783859402</v>
      </c>
      <c r="H279" s="7">
        <v>3.280336681697199</v>
      </c>
      <c r="I279" s="7">
        <v>97.42050502254581</v>
      </c>
      <c r="J279" s="7">
        <v>242.00841704243</v>
      </c>
      <c r="K279" s="7">
        <v>20.2410100450916</v>
      </c>
    </row>
    <row r="280" ht="15.75" customHeight="1">
      <c r="A280" s="3" t="s">
        <v>117</v>
      </c>
      <c r="B280" s="3" t="s">
        <v>152</v>
      </c>
      <c r="C280" s="3">
        <v>9.0</v>
      </c>
      <c r="D280" s="3">
        <v>300.0</v>
      </c>
      <c r="E280" s="3">
        <v>30.0</v>
      </c>
      <c r="F280" s="3">
        <v>512.0</v>
      </c>
      <c r="G280" s="7">
        <v>20.01543697962737</v>
      </c>
      <c r="H280" s="7">
        <v>3.318696279893535</v>
      </c>
      <c r="I280" s="7">
        <v>97.4780444198403</v>
      </c>
      <c r="J280" s="7">
        <v>242.9674069973384</v>
      </c>
      <c r="K280" s="7">
        <v>20.35608883968061</v>
      </c>
    </row>
    <row r="281" ht="15.75" customHeight="1">
      <c r="A281" s="3" t="s">
        <v>117</v>
      </c>
      <c r="B281" s="3" t="s">
        <v>152</v>
      </c>
      <c r="C281" s="3">
        <v>10.0</v>
      </c>
      <c r="D281" s="3">
        <v>300.0</v>
      </c>
      <c r="E281" s="3">
        <v>30.0</v>
      </c>
      <c r="F281" s="3">
        <v>512.0</v>
      </c>
      <c r="G281" s="7">
        <v>20.14969557331455</v>
      </c>
      <c r="H281" s="7">
        <v>3.357055878089871</v>
      </c>
      <c r="I281" s="7">
        <v>97.5355838171348</v>
      </c>
      <c r="J281" s="7">
        <v>243.9263969522468</v>
      </c>
      <c r="K281" s="7">
        <v>20.47116763426961</v>
      </c>
    </row>
    <row r="282" ht="15.75" customHeight="1">
      <c r="A282" s="3" t="s">
        <v>117</v>
      </c>
      <c r="B282" s="3" t="s">
        <v>152</v>
      </c>
      <c r="C282" s="3">
        <v>11.0</v>
      </c>
      <c r="D282" s="3">
        <v>300.0</v>
      </c>
      <c r="E282" s="3">
        <v>30.0</v>
      </c>
      <c r="F282" s="3">
        <v>512.0</v>
      </c>
      <c r="G282" s="7">
        <v>20.28395416700172</v>
      </c>
      <c r="H282" s="7">
        <v>3.395415476286207</v>
      </c>
      <c r="I282" s="7">
        <v>97.59312321442931</v>
      </c>
      <c r="J282" s="7">
        <v>244.8853869071552</v>
      </c>
      <c r="K282" s="7">
        <v>20.58624642885862</v>
      </c>
    </row>
    <row r="283" ht="15.75" customHeight="1">
      <c r="A283" s="3" t="s">
        <v>117</v>
      </c>
      <c r="B283" s="3" t="s">
        <v>152</v>
      </c>
      <c r="C283" s="3">
        <v>12.0</v>
      </c>
      <c r="D283" s="3">
        <v>300.0</v>
      </c>
      <c r="E283" s="3">
        <v>30.0</v>
      </c>
      <c r="F283" s="3">
        <v>512.0</v>
      </c>
      <c r="G283" s="7">
        <v>20.4182127606889</v>
      </c>
      <c r="H283" s="7">
        <v>3.433775074482543</v>
      </c>
      <c r="I283" s="7">
        <v>97.65066261172382</v>
      </c>
      <c r="J283" s="7">
        <v>245.8443768620636</v>
      </c>
      <c r="K283" s="7">
        <v>20.70132522344763</v>
      </c>
    </row>
    <row r="284" ht="15.75" customHeight="1">
      <c r="A284" s="3" t="s">
        <v>117</v>
      </c>
      <c r="B284" s="3" t="s">
        <v>152</v>
      </c>
      <c r="C284" s="3">
        <v>13.0</v>
      </c>
      <c r="D284" s="3">
        <v>300.0</v>
      </c>
      <c r="E284" s="3">
        <v>30.0</v>
      </c>
      <c r="F284" s="3">
        <v>512.0</v>
      </c>
      <c r="G284" s="7">
        <v>20.55247135437608</v>
      </c>
      <c r="H284" s="7">
        <v>3.47213467267888</v>
      </c>
      <c r="I284" s="7">
        <v>97.70820200901832</v>
      </c>
      <c r="J284" s="7">
        <v>246.803366816972</v>
      </c>
      <c r="K284" s="7">
        <v>20.81640401803664</v>
      </c>
    </row>
    <row r="285" ht="15.75" customHeight="1">
      <c r="A285" s="3" t="s">
        <v>117</v>
      </c>
      <c r="B285" s="3" t="s">
        <v>152</v>
      </c>
      <c r="C285" s="3">
        <v>14.0</v>
      </c>
      <c r="D285" s="3">
        <v>300.0</v>
      </c>
      <c r="E285" s="3">
        <v>30.0</v>
      </c>
      <c r="F285" s="3">
        <v>512.0</v>
      </c>
      <c r="G285" s="7">
        <v>20.70164756958405</v>
      </c>
      <c r="H285" s="7">
        <v>3.514756448452586</v>
      </c>
      <c r="I285" s="7">
        <v>97.77213467267889</v>
      </c>
      <c r="J285" s="7">
        <v>247.8689112113147</v>
      </c>
      <c r="K285" s="7">
        <v>20.94426934535776</v>
      </c>
    </row>
    <row r="286" ht="15.75" customHeight="1">
      <c r="A286" s="3" t="s">
        <v>117</v>
      </c>
      <c r="B286" s="3" t="s">
        <v>152</v>
      </c>
      <c r="C286" s="3">
        <v>15.0</v>
      </c>
      <c r="D286" s="3">
        <v>300.0</v>
      </c>
      <c r="E286" s="3">
        <v>30.0</v>
      </c>
      <c r="F286" s="3">
        <v>512.0</v>
      </c>
      <c r="G286" s="7">
        <v>20.85082378479203</v>
      </c>
      <c r="H286" s="7">
        <v>3.557378224226293</v>
      </c>
      <c r="I286" s="7">
        <v>97.83606733633944</v>
      </c>
      <c r="J286" s="7">
        <v>248.9344556056573</v>
      </c>
      <c r="K286" s="7">
        <v>21.07213467267888</v>
      </c>
    </row>
    <row r="287" ht="15.75" customHeight="1">
      <c r="A287" s="3" t="s">
        <v>117</v>
      </c>
      <c r="B287" s="3" t="s">
        <v>152</v>
      </c>
      <c r="C287" s="3">
        <v>16.0</v>
      </c>
      <c r="D287" s="3">
        <v>300.0</v>
      </c>
      <c r="E287" s="3">
        <v>30.0</v>
      </c>
      <c r="F287" s="3">
        <v>512.0</v>
      </c>
      <c r="G287" s="7">
        <v>21.14917621520797</v>
      </c>
      <c r="H287" s="7">
        <v>3.642621775773707</v>
      </c>
      <c r="I287" s="7">
        <v>97.96393266366057</v>
      </c>
      <c r="J287" s="7">
        <v>251.0655443943427</v>
      </c>
      <c r="K287" s="7">
        <v>21.32786532732112</v>
      </c>
    </row>
    <row r="288" ht="15.75" customHeight="1">
      <c r="A288" s="3" t="s">
        <v>117</v>
      </c>
      <c r="B288" s="3" t="s">
        <v>152</v>
      </c>
      <c r="C288" s="3">
        <v>17.0</v>
      </c>
      <c r="D288" s="3">
        <v>300.0</v>
      </c>
      <c r="E288" s="3">
        <v>30.0</v>
      </c>
      <c r="F288" s="3">
        <v>512.0</v>
      </c>
      <c r="G288" s="7">
        <v>21.29835243041595</v>
      </c>
      <c r="H288" s="7">
        <v>3.685243551547414</v>
      </c>
      <c r="I288" s="7">
        <v>98.02786532732112</v>
      </c>
      <c r="J288" s="7">
        <v>252.1310887886853</v>
      </c>
      <c r="K288" s="7">
        <v>21.45573065464224</v>
      </c>
    </row>
    <row r="289" ht="15.75" customHeight="1">
      <c r="A289" s="3" t="s">
        <v>117</v>
      </c>
      <c r="B289" s="3" t="s">
        <v>152</v>
      </c>
      <c r="C289" s="3">
        <v>18.0</v>
      </c>
      <c r="D289" s="3">
        <v>300.0</v>
      </c>
      <c r="E289" s="3">
        <v>30.0</v>
      </c>
      <c r="F289" s="3">
        <v>512.0</v>
      </c>
      <c r="G289" s="7">
        <v>21.44752864562392</v>
      </c>
      <c r="H289" s="7">
        <v>3.72786532732112</v>
      </c>
      <c r="I289" s="7">
        <v>98.09179799098169</v>
      </c>
      <c r="J289" s="7">
        <v>253.196633183028</v>
      </c>
      <c r="K289" s="7">
        <v>21.58359598196336</v>
      </c>
    </row>
    <row r="290" ht="15.75" customHeight="1">
      <c r="A290" s="3" t="s">
        <v>117</v>
      </c>
      <c r="B290" s="3" t="s">
        <v>152</v>
      </c>
      <c r="C290" s="3">
        <v>19.0</v>
      </c>
      <c r="D290" s="3">
        <v>300.0</v>
      </c>
      <c r="E290" s="3">
        <v>30.0</v>
      </c>
      <c r="F290" s="3">
        <v>512.0</v>
      </c>
      <c r="G290" s="7">
        <v>21.5817872393111</v>
      </c>
      <c r="H290" s="7">
        <v>3.766224925517457</v>
      </c>
      <c r="I290" s="7">
        <v>98.1493373882762</v>
      </c>
      <c r="J290" s="7">
        <v>254.1556231379364</v>
      </c>
      <c r="K290" s="7">
        <v>21.69867477655237</v>
      </c>
    </row>
    <row r="291" ht="15.75" customHeight="1">
      <c r="A291" s="3" t="s">
        <v>117</v>
      </c>
      <c r="B291" s="3" t="s">
        <v>152</v>
      </c>
      <c r="C291" s="3">
        <v>20.0</v>
      </c>
      <c r="D291" s="3">
        <v>300.0</v>
      </c>
      <c r="E291" s="3">
        <v>30.0</v>
      </c>
      <c r="F291" s="3">
        <v>512.0</v>
      </c>
      <c r="G291" s="7">
        <v>21.71604583299828</v>
      </c>
      <c r="H291" s="7">
        <v>3.804584523713793</v>
      </c>
      <c r="I291" s="7">
        <v>98.2068767855707</v>
      </c>
      <c r="J291" s="7">
        <v>255.1146130928448</v>
      </c>
      <c r="K291" s="7">
        <v>21.81375357114138</v>
      </c>
    </row>
    <row r="292" ht="15.75" customHeight="1">
      <c r="A292" s="3" t="s">
        <v>117</v>
      </c>
      <c r="B292" s="3" t="s">
        <v>152</v>
      </c>
      <c r="C292" s="3">
        <v>21.0</v>
      </c>
      <c r="D292" s="3">
        <v>300.0</v>
      </c>
      <c r="E292" s="3">
        <v>30.0</v>
      </c>
      <c r="F292" s="3">
        <v>512.0</v>
      </c>
      <c r="G292" s="7">
        <v>21.85030442668545</v>
      </c>
      <c r="H292" s="7">
        <v>3.842944121910129</v>
      </c>
      <c r="I292" s="7">
        <v>98.2644161828652</v>
      </c>
      <c r="J292" s="7">
        <v>256.0736030477532</v>
      </c>
      <c r="K292" s="7">
        <v>21.92883236573039</v>
      </c>
    </row>
    <row r="293" ht="15.75" customHeight="1">
      <c r="A293" s="3" t="s">
        <v>117</v>
      </c>
      <c r="B293" s="3" t="s">
        <v>152</v>
      </c>
      <c r="C293" s="3">
        <v>22.0</v>
      </c>
      <c r="D293" s="3">
        <v>300.0</v>
      </c>
      <c r="E293" s="3">
        <v>30.0</v>
      </c>
      <c r="F293" s="3">
        <v>512.0</v>
      </c>
      <c r="G293" s="7">
        <v>21.98456302037263</v>
      </c>
      <c r="H293" s="7">
        <v>3.881303720106465</v>
      </c>
      <c r="I293" s="7">
        <v>98.32195558015971</v>
      </c>
      <c r="J293" s="7">
        <v>257.0325930026616</v>
      </c>
      <c r="K293" s="7">
        <v>22.04391116031939</v>
      </c>
    </row>
    <row r="294" ht="15.75" customHeight="1">
      <c r="A294" s="3" t="s">
        <v>117</v>
      </c>
      <c r="B294" s="3" t="s">
        <v>152</v>
      </c>
      <c r="C294" s="3">
        <v>23.0</v>
      </c>
      <c r="D294" s="3">
        <v>300.0</v>
      </c>
      <c r="E294" s="3">
        <v>30.0</v>
      </c>
      <c r="F294" s="3">
        <v>512.0</v>
      </c>
      <c r="G294" s="7">
        <v>22.1188216140598</v>
      </c>
      <c r="H294" s="7">
        <v>3.919663318302801</v>
      </c>
      <c r="I294" s="7">
        <v>98.3794949774542</v>
      </c>
      <c r="J294" s="7">
        <v>257.99158295757</v>
      </c>
      <c r="K294" s="7">
        <v>22.1589899549084</v>
      </c>
    </row>
    <row r="295" ht="15.75" customHeight="1">
      <c r="A295" s="3" t="s">
        <v>117</v>
      </c>
      <c r="B295" s="3" t="s">
        <v>152</v>
      </c>
      <c r="C295" s="3">
        <v>24.0</v>
      </c>
      <c r="D295" s="3">
        <v>300.0</v>
      </c>
      <c r="E295" s="3">
        <v>30.0</v>
      </c>
      <c r="F295" s="3">
        <v>512.0</v>
      </c>
      <c r="G295" s="7">
        <v>22.25308020774698</v>
      </c>
      <c r="H295" s="7">
        <v>3.958022916499138</v>
      </c>
      <c r="I295" s="7">
        <v>98.4370343747487</v>
      </c>
      <c r="J295" s="7">
        <v>258.9505729124784</v>
      </c>
      <c r="K295" s="7">
        <v>22.27406874949741</v>
      </c>
    </row>
    <row r="296" ht="15.75" customHeight="1">
      <c r="A296" s="3" t="s">
        <v>117</v>
      </c>
      <c r="B296" s="3" t="s">
        <v>152</v>
      </c>
      <c r="C296" s="3">
        <v>25.0</v>
      </c>
      <c r="D296" s="3">
        <v>300.0</v>
      </c>
      <c r="E296" s="3">
        <v>30.0</v>
      </c>
      <c r="F296" s="3">
        <v>512.0</v>
      </c>
      <c r="G296" s="7">
        <v>22.40225642295496</v>
      </c>
      <c r="H296" s="7">
        <v>4.000644692272845</v>
      </c>
      <c r="I296" s="7">
        <v>98.50096703840927</v>
      </c>
      <c r="J296" s="7">
        <v>260.0161173068211</v>
      </c>
      <c r="K296" s="7">
        <v>22.40193407681853</v>
      </c>
    </row>
    <row r="297" ht="15.75" customHeight="1">
      <c r="A297" s="3" t="s">
        <v>117</v>
      </c>
      <c r="B297" s="3" t="s">
        <v>152</v>
      </c>
      <c r="C297" s="3">
        <v>26.0</v>
      </c>
      <c r="D297" s="3">
        <v>300.0</v>
      </c>
      <c r="E297" s="3">
        <v>30.0</v>
      </c>
      <c r="F297" s="3">
        <v>512.0</v>
      </c>
      <c r="G297" s="7">
        <v>22.56635025968373</v>
      </c>
      <c r="H297" s="7">
        <v>4.047528645623922</v>
      </c>
      <c r="I297" s="7">
        <v>98.57129296843588</v>
      </c>
      <c r="J297" s="7">
        <v>261.1882161405981</v>
      </c>
      <c r="K297" s="7">
        <v>22.54258593687176</v>
      </c>
    </row>
    <row r="298" ht="15.75" customHeight="1">
      <c r="A298" s="3" t="s">
        <v>117</v>
      </c>
      <c r="B298" s="3" t="s">
        <v>152</v>
      </c>
      <c r="C298" s="3">
        <v>27.0</v>
      </c>
      <c r="D298" s="3">
        <v>300.0</v>
      </c>
      <c r="E298" s="3">
        <v>30.0</v>
      </c>
      <c r="F298" s="3">
        <v>512.0</v>
      </c>
      <c r="G298" s="7">
        <v>22.7453617179333</v>
      </c>
      <c r="H298" s="7">
        <v>4.09867477655237</v>
      </c>
      <c r="I298" s="7">
        <v>98.64801216482856</v>
      </c>
      <c r="J298" s="7">
        <v>262.4668694138093</v>
      </c>
      <c r="K298" s="7">
        <v>22.69602432965711</v>
      </c>
    </row>
    <row r="299" ht="15.75" customHeight="1">
      <c r="A299" s="3" t="s">
        <v>117</v>
      </c>
      <c r="B299" s="3" t="s">
        <v>152</v>
      </c>
      <c r="C299" s="3">
        <v>28.0</v>
      </c>
      <c r="D299" s="3">
        <v>300.0</v>
      </c>
      <c r="E299" s="3">
        <v>30.0</v>
      </c>
      <c r="F299" s="3">
        <v>512.0</v>
      </c>
      <c r="G299" s="7">
        <v>22.95420841922446</v>
      </c>
      <c r="H299" s="7">
        <v>4.158345262635559</v>
      </c>
      <c r="I299" s="7">
        <v>98.73751789395334</v>
      </c>
      <c r="J299" s="7">
        <v>263.958631565889</v>
      </c>
      <c r="K299" s="7">
        <v>22.87503578790668</v>
      </c>
    </row>
    <row r="300" ht="15.75" customHeight="1">
      <c r="A300" s="3" t="s">
        <v>117</v>
      </c>
      <c r="B300" s="3" t="s">
        <v>152</v>
      </c>
      <c r="C300" s="3">
        <v>29.0</v>
      </c>
      <c r="D300" s="3">
        <v>300.0</v>
      </c>
      <c r="E300" s="3">
        <v>30.0</v>
      </c>
      <c r="F300" s="3">
        <v>512.0</v>
      </c>
      <c r="G300" s="7">
        <v>23.20780798507801</v>
      </c>
      <c r="H300" s="7">
        <v>4.230802281450861</v>
      </c>
      <c r="I300" s="7">
        <v>98.8462034221763</v>
      </c>
      <c r="J300" s="7">
        <v>265.7700570362715</v>
      </c>
      <c r="K300" s="7">
        <v>23.09240684435258</v>
      </c>
    </row>
    <row r="301" ht="15.75" customHeight="1">
      <c r="A301" s="3" t="s">
        <v>117</v>
      </c>
      <c r="B301" s="3" t="s">
        <v>152</v>
      </c>
      <c r="C301" s="3">
        <v>30.0</v>
      </c>
      <c r="D301" s="3">
        <v>300.0</v>
      </c>
      <c r="E301" s="3">
        <v>30.0</v>
      </c>
      <c r="F301" s="3">
        <v>512.0</v>
      </c>
      <c r="G301" s="7">
        <v>23.56583090157715</v>
      </c>
      <c r="H301" s="7">
        <v>4.333094543307757</v>
      </c>
      <c r="I301" s="7">
        <v>98.99964181496165</v>
      </c>
      <c r="J301" s="7">
        <v>268.3273635826939</v>
      </c>
      <c r="K301" s="7">
        <v>23.39928362992327</v>
      </c>
    </row>
    <row r="302" ht="15.75" customHeight="1">
      <c r="A302" s="3" t="s">
        <v>117</v>
      </c>
      <c r="B302" s="3" t="s">
        <v>153</v>
      </c>
      <c r="C302" s="3">
        <v>1.0</v>
      </c>
      <c r="D302" s="3">
        <v>300.0</v>
      </c>
      <c r="E302" s="3">
        <v>30.0</v>
      </c>
      <c r="F302" s="3">
        <v>512.0</v>
      </c>
      <c r="G302" s="7">
        <v>24.73452728346121</v>
      </c>
      <c r="H302" s="7">
        <v>3.900358185038364</v>
      </c>
      <c r="I302" s="7">
        <v>94.45053727755754</v>
      </c>
      <c r="J302" s="7">
        <v>259.8399000590367</v>
      </c>
      <c r="K302" s="7">
        <v>20.81744273424979</v>
      </c>
    </row>
    <row r="303" ht="15.75" customHeight="1">
      <c r="A303" s="3" t="s">
        <v>117</v>
      </c>
      <c r="B303" s="3" t="s">
        <v>153</v>
      </c>
      <c r="C303" s="3">
        <v>2.0</v>
      </c>
      <c r="D303" s="3">
        <v>300.0</v>
      </c>
      <c r="E303" s="3">
        <v>30.0</v>
      </c>
      <c r="F303" s="3">
        <v>512.0</v>
      </c>
      <c r="G303" s="7">
        <v>25.24598859274569</v>
      </c>
      <c r="H303" s="7">
        <v>4.053796577823708</v>
      </c>
      <c r="I303" s="7">
        <v>94.68069486673556</v>
      </c>
      <c r="J303" s="7">
        <v>262.6529372601013</v>
      </c>
      <c r="K303" s="7">
        <v>21.1498925852847</v>
      </c>
    </row>
    <row r="304" ht="15.75" customHeight="1">
      <c r="A304" s="3" t="s">
        <v>117</v>
      </c>
      <c r="B304" s="3" t="s">
        <v>153</v>
      </c>
      <c r="C304" s="3">
        <v>3.0</v>
      </c>
      <c r="D304" s="3">
        <v>300.0</v>
      </c>
      <c r="E304" s="3">
        <v>30.0</v>
      </c>
      <c r="F304" s="3">
        <v>512.0</v>
      </c>
      <c r="G304" s="7">
        <v>25.6082736868222</v>
      </c>
      <c r="H304" s="7">
        <v>4.162482106046661</v>
      </c>
      <c r="I304" s="7">
        <v>94.84372315906998</v>
      </c>
      <c r="J304" s="7">
        <v>264.6455052775221</v>
      </c>
      <c r="K304" s="7">
        <v>21.38537789643443</v>
      </c>
    </row>
    <row r="305" ht="15.75" customHeight="1">
      <c r="A305" s="3" t="s">
        <v>117</v>
      </c>
      <c r="B305" s="3" t="s">
        <v>153</v>
      </c>
      <c r="C305" s="3">
        <v>4.0</v>
      </c>
      <c r="D305" s="3">
        <v>300.0</v>
      </c>
      <c r="E305" s="3">
        <v>30.0</v>
      </c>
      <c r="F305" s="3">
        <v>512.0</v>
      </c>
      <c r="G305" s="7">
        <v>25.90662611723815</v>
      </c>
      <c r="H305" s="7">
        <v>4.251987835171446</v>
      </c>
      <c r="I305" s="7">
        <v>94.97798175275716</v>
      </c>
      <c r="J305" s="7">
        <v>266.2864436448098</v>
      </c>
      <c r="K305" s="7">
        <v>21.5793069762048</v>
      </c>
    </row>
    <row r="306" ht="15.75" customHeight="1">
      <c r="A306" s="3" t="s">
        <v>117</v>
      </c>
      <c r="B306" s="3" t="s">
        <v>153</v>
      </c>
      <c r="C306" s="3">
        <v>5.0</v>
      </c>
      <c r="D306" s="3">
        <v>300.0</v>
      </c>
      <c r="E306" s="3">
        <v>30.0</v>
      </c>
      <c r="F306" s="3">
        <v>512.0</v>
      </c>
      <c r="G306" s="7">
        <v>26.16235677188039</v>
      </c>
      <c r="H306" s="7">
        <v>4.328707031564117</v>
      </c>
      <c r="I306" s="7">
        <v>95.09306054734617</v>
      </c>
      <c r="J306" s="7">
        <v>267.6929622453421</v>
      </c>
      <c r="K306" s="7">
        <v>21.74553190172225</v>
      </c>
    </row>
    <row r="307" ht="15.75" customHeight="1">
      <c r="A307" s="3" t="s">
        <v>117</v>
      </c>
      <c r="B307" s="3" t="s">
        <v>153</v>
      </c>
      <c r="C307" s="3">
        <v>6.0</v>
      </c>
      <c r="D307" s="3">
        <v>300.0</v>
      </c>
      <c r="E307" s="3">
        <v>30.0</v>
      </c>
      <c r="F307" s="3">
        <v>512.0</v>
      </c>
      <c r="G307" s="7">
        <v>26.39677653863578</v>
      </c>
      <c r="H307" s="7">
        <v>4.399032961590734</v>
      </c>
      <c r="I307" s="7">
        <v>95.1985494423861</v>
      </c>
      <c r="J307" s="7">
        <v>268.9822709624968</v>
      </c>
      <c r="K307" s="7">
        <v>21.89790475011326</v>
      </c>
    </row>
    <row r="308" ht="15.75" customHeight="1">
      <c r="A308" s="3" t="s">
        <v>117</v>
      </c>
      <c r="B308" s="3" t="s">
        <v>153</v>
      </c>
      <c r="C308" s="3">
        <v>7.0</v>
      </c>
      <c r="D308" s="3">
        <v>300.0</v>
      </c>
      <c r="E308" s="3">
        <v>30.0</v>
      </c>
      <c r="F308" s="3">
        <v>512.0</v>
      </c>
      <c r="G308" s="7">
        <v>26.60988541750431</v>
      </c>
      <c r="H308" s="7">
        <v>4.462965625251294</v>
      </c>
      <c r="I308" s="7">
        <v>95.29444843787694</v>
      </c>
      <c r="J308" s="7">
        <v>270.1543697962737</v>
      </c>
      <c r="K308" s="7">
        <v>22.0364255213778</v>
      </c>
    </row>
    <row r="309" ht="15.75" customHeight="1">
      <c r="A309" s="3" t="s">
        <v>117</v>
      </c>
      <c r="B309" s="3" t="s">
        <v>153</v>
      </c>
      <c r="C309" s="3">
        <v>8.0</v>
      </c>
      <c r="D309" s="3">
        <v>300.0</v>
      </c>
      <c r="E309" s="3">
        <v>30.0</v>
      </c>
      <c r="F309" s="3">
        <v>512.0</v>
      </c>
      <c r="G309" s="7">
        <v>26.80168340848599</v>
      </c>
      <c r="H309" s="7">
        <v>4.520505022545798</v>
      </c>
      <c r="I309" s="7">
        <v>95.3807575338187</v>
      </c>
      <c r="J309" s="7">
        <v>271.209258746673</v>
      </c>
      <c r="K309" s="7">
        <v>22.1610942155159</v>
      </c>
    </row>
    <row r="310" ht="15.75" customHeight="1">
      <c r="A310" s="3" t="s">
        <v>117</v>
      </c>
      <c r="B310" s="3" t="s">
        <v>153</v>
      </c>
      <c r="C310" s="3">
        <v>9.0</v>
      </c>
      <c r="D310" s="3">
        <v>300.0</v>
      </c>
      <c r="E310" s="3">
        <v>30.0</v>
      </c>
      <c r="F310" s="3">
        <v>512.0</v>
      </c>
      <c r="G310" s="7">
        <v>26.99348139946767</v>
      </c>
      <c r="H310" s="7">
        <v>4.578044419840302</v>
      </c>
      <c r="I310" s="7">
        <v>95.46706662976045</v>
      </c>
      <c r="J310" s="7">
        <v>272.2641476970722</v>
      </c>
      <c r="K310" s="7">
        <v>22.28576290965399</v>
      </c>
    </row>
    <row r="311" ht="15.75" customHeight="1">
      <c r="A311" s="3" t="s">
        <v>117</v>
      </c>
      <c r="B311" s="3" t="s">
        <v>153</v>
      </c>
      <c r="C311" s="3">
        <v>10.0</v>
      </c>
      <c r="D311" s="3">
        <v>300.0</v>
      </c>
      <c r="E311" s="3">
        <v>30.0</v>
      </c>
      <c r="F311" s="3">
        <v>512.0</v>
      </c>
      <c r="G311" s="7">
        <v>27.18527939044935</v>
      </c>
      <c r="H311" s="7">
        <v>4.635583817134806</v>
      </c>
      <c r="I311" s="7">
        <v>95.55337572570221</v>
      </c>
      <c r="J311" s="7">
        <v>273.3190366474715</v>
      </c>
      <c r="K311" s="7">
        <v>22.41043160379208</v>
      </c>
    </row>
    <row r="312" ht="15.75" customHeight="1">
      <c r="A312" s="3" t="s">
        <v>117</v>
      </c>
      <c r="B312" s="3" t="s">
        <v>153</v>
      </c>
      <c r="C312" s="3">
        <v>11.0</v>
      </c>
      <c r="D312" s="3">
        <v>300.0</v>
      </c>
      <c r="E312" s="3">
        <v>30.0</v>
      </c>
      <c r="F312" s="3">
        <v>512.0</v>
      </c>
      <c r="G312" s="7">
        <v>27.37707738143104</v>
      </c>
      <c r="H312" s="7">
        <v>4.693123214429311</v>
      </c>
      <c r="I312" s="7">
        <v>95.63968482164395</v>
      </c>
      <c r="J312" s="7">
        <v>274.3739255978707</v>
      </c>
      <c r="K312" s="7">
        <v>22.53510029793017</v>
      </c>
    </row>
    <row r="313" ht="15.75" customHeight="1">
      <c r="A313" s="3" t="s">
        <v>117</v>
      </c>
      <c r="B313" s="3" t="s">
        <v>153</v>
      </c>
      <c r="C313" s="3">
        <v>12.0</v>
      </c>
      <c r="D313" s="3">
        <v>300.0</v>
      </c>
      <c r="E313" s="3">
        <v>30.0</v>
      </c>
      <c r="F313" s="3">
        <v>512.0</v>
      </c>
      <c r="G313" s="7">
        <v>27.56887537241272</v>
      </c>
      <c r="H313" s="7">
        <v>4.750662611723815</v>
      </c>
      <c r="I313" s="7">
        <v>95.72599391758571</v>
      </c>
      <c r="J313" s="7">
        <v>275.4288145482699</v>
      </c>
      <c r="K313" s="7">
        <v>22.65976899206827</v>
      </c>
    </row>
    <row r="314" ht="15.75" customHeight="1">
      <c r="A314" s="3" t="s">
        <v>117</v>
      </c>
      <c r="B314" s="3" t="s">
        <v>153</v>
      </c>
      <c r="C314" s="3">
        <v>13.0</v>
      </c>
      <c r="D314" s="3">
        <v>300.0</v>
      </c>
      <c r="E314" s="3">
        <v>30.0</v>
      </c>
      <c r="F314" s="3">
        <v>512.0</v>
      </c>
      <c r="G314" s="7">
        <v>27.7606733633944</v>
      </c>
      <c r="H314" s="7">
        <v>4.808202009018319</v>
      </c>
      <c r="I314" s="7">
        <v>95.81230301352747</v>
      </c>
      <c r="J314" s="7">
        <v>276.4837034986692</v>
      </c>
      <c r="K314" s="7">
        <v>22.78443768620636</v>
      </c>
    </row>
    <row r="315" ht="15.75" customHeight="1">
      <c r="A315" s="3" t="s">
        <v>117</v>
      </c>
      <c r="B315" s="3" t="s">
        <v>153</v>
      </c>
      <c r="C315" s="3">
        <v>14.0</v>
      </c>
      <c r="D315" s="3">
        <v>300.0</v>
      </c>
      <c r="E315" s="3">
        <v>30.0</v>
      </c>
      <c r="F315" s="3">
        <v>512.0</v>
      </c>
      <c r="G315" s="7">
        <v>27.97378224226293</v>
      </c>
      <c r="H315" s="7">
        <v>4.87213467267888</v>
      </c>
      <c r="I315" s="7">
        <v>95.90820200901831</v>
      </c>
      <c r="J315" s="7">
        <v>277.6558023324461</v>
      </c>
      <c r="K315" s="7">
        <v>22.92295845747091</v>
      </c>
    </row>
    <row r="316" ht="15.75" customHeight="1">
      <c r="A316" s="3" t="s">
        <v>117</v>
      </c>
      <c r="B316" s="3" t="s">
        <v>153</v>
      </c>
      <c r="C316" s="3">
        <v>15.0</v>
      </c>
      <c r="D316" s="3">
        <v>300.0</v>
      </c>
      <c r="E316" s="3">
        <v>30.0</v>
      </c>
      <c r="F316" s="3">
        <v>512.0</v>
      </c>
      <c r="G316" s="7">
        <v>28.18689112113146</v>
      </c>
      <c r="H316" s="7">
        <v>4.936067336339439</v>
      </c>
      <c r="I316" s="7">
        <v>96.00410100450915</v>
      </c>
      <c r="J316" s="7">
        <v>278.8279011662231</v>
      </c>
      <c r="K316" s="7">
        <v>23.06147922873545</v>
      </c>
    </row>
    <row r="317" ht="15.75" customHeight="1">
      <c r="A317" s="3" t="s">
        <v>117</v>
      </c>
      <c r="B317" s="3" t="s">
        <v>153</v>
      </c>
      <c r="C317" s="3">
        <v>16.0</v>
      </c>
      <c r="D317" s="3">
        <v>300.0</v>
      </c>
      <c r="E317" s="3">
        <v>30.0</v>
      </c>
      <c r="F317" s="3">
        <v>512.0</v>
      </c>
      <c r="G317" s="7">
        <v>28.61310887886853</v>
      </c>
      <c r="H317" s="7">
        <v>5.063932663660561</v>
      </c>
      <c r="I317" s="7">
        <v>96.19589899549084</v>
      </c>
      <c r="J317" s="7">
        <v>281.1720988337769</v>
      </c>
      <c r="K317" s="7">
        <v>23.33852077126455</v>
      </c>
    </row>
    <row r="318" ht="15.75" customHeight="1">
      <c r="A318" s="3" t="s">
        <v>117</v>
      </c>
      <c r="B318" s="3" t="s">
        <v>153</v>
      </c>
      <c r="C318" s="3">
        <v>17.0</v>
      </c>
      <c r="D318" s="3">
        <v>300.0</v>
      </c>
      <c r="E318" s="3">
        <v>30.0</v>
      </c>
      <c r="F318" s="3">
        <v>512.0</v>
      </c>
      <c r="G318" s="7">
        <v>28.82621775773707</v>
      </c>
      <c r="H318" s="7">
        <v>5.12786532732112</v>
      </c>
      <c r="I318" s="7">
        <v>96.29179799098168</v>
      </c>
      <c r="J318" s="7">
        <v>282.3441976675539</v>
      </c>
      <c r="K318" s="7">
        <v>23.47704154252909</v>
      </c>
    </row>
    <row r="319" ht="15.75" customHeight="1">
      <c r="A319" s="3" t="s">
        <v>117</v>
      </c>
      <c r="B319" s="3" t="s">
        <v>153</v>
      </c>
      <c r="C319" s="3">
        <v>18.0</v>
      </c>
      <c r="D319" s="3">
        <v>300.0</v>
      </c>
      <c r="E319" s="3">
        <v>30.0</v>
      </c>
      <c r="F319" s="3">
        <v>512.0</v>
      </c>
      <c r="G319" s="7">
        <v>29.0393266366056</v>
      </c>
      <c r="H319" s="7">
        <v>5.191797990981681</v>
      </c>
      <c r="I319" s="7">
        <v>96.38769698647252</v>
      </c>
      <c r="J319" s="7">
        <v>283.5162965013308</v>
      </c>
      <c r="K319" s="7">
        <v>23.61556231379364</v>
      </c>
    </row>
    <row r="320" ht="15.75" customHeight="1">
      <c r="A320" s="3" t="s">
        <v>117</v>
      </c>
      <c r="B320" s="3" t="s">
        <v>153</v>
      </c>
      <c r="C320" s="3">
        <v>19.0</v>
      </c>
      <c r="D320" s="3">
        <v>300.0</v>
      </c>
      <c r="E320" s="3">
        <v>30.0</v>
      </c>
      <c r="F320" s="3">
        <v>512.0</v>
      </c>
      <c r="G320" s="7">
        <v>29.23112462758728</v>
      </c>
      <c r="H320" s="7">
        <v>5.249337388276185</v>
      </c>
      <c r="I320" s="7">
        <v>96.47400608241428</v>
      </c>
      <c r="J320" s="7">
        <v>284.5711854517301</v>
      </c>
      <c r="K320" s="7">
        <v>23.74023100793173</v>
      </c>
    </row>
    <row r="321" ht="15.75" customHeight="1">
      <c r="A321" s="3" t="s">
        <v>117</v>
      </c>
      <c r="B321" s="3" t="s">
        <v>153</v>
      </c>
      <c r="C321" s="3">
        <v>20.0</v>
      </c>
      <c r="D321" s="3">
        <v>300.0</v>
      </c>
      <c r="E321" s="3">
        <v>30.0</v>
      </c>
      <c r="F321" s="3">
        <v>512.0</v>
      </c>
      <c r="G321" s="7">
        <v>29.42292261856896</v>
      </c>
      <c r="H321" s="7">
        <v>5.306876785570689</v>
      </c>
      <c r="I321" s="7">
        <v>96.56031517835603</v>
      </c>
      <c r="J321" s="7">
        <v>285.6260744021293</v>
      </c>
      <c r="K321" s="7">
        <v>23.86489970206983</v>
      </c>
    </row>
    <row r="322" ht="15.75" customHeight="1">
      <c r="A322" s="3" t="s">
        <v>117</v>
      </c>
      <c r="B322" s="3" t="s">
        <v>153</v>
      </c>
      <c r="C322" s="3">
        <v>21.0</v>
      </c>
      <c r="D322" s="3">
        <v>300.0</v>
      </c>
      <c r="E322" s="3">
        <v>30.0</v>
      </c>
      <c r="F322" s="3">
        <v>512.0</v>
      </c>
      <c r="G322" s="7">
        <v>29.61472060955064</v>
      </c>
      <c r="H322" s="7">
        <v>5.364416182865194</v>
      </c>
      <c r="I322" s="7">
        <v>96.64662427429778</v>
      </c>
      <c r="J322" s="7">
        <v>286.6809633525285</v>
      </c>
      <c r="K322" s="7">
        <v>23.98956839620792</v>
      </c>
    </row>
    <row r="323" ht="15.75" customHeight="1">
      <c r="A323" s="3" t="s">
        <v>117</v>
      </c>
      <c r="B323" s="3" t="s">
        <v>153</v>
      </c>
      <c r="C323" s="3">
        <v>22.0</v>
      </c>
      <c r="D323" s="3">
        <v>300.0</v>
      </c>
      <c r="E323" s="3">
        <v>30.0</v>
      </c>
      <c r="F323" s="3">
        <v>512.0</v>
      </c>
      <c r="G323" s="7">
        <v>29.80651860053232</v>
      </c>
      <c r="H323" s="7">
        <v>5.421955580159698</v>
      </c>
      <c r="I323" s="7">
        <v>96.73293337023954</v>
      </c>
      <c r="J323" s="7">
        <v>287.7358523029278</v>
      </c>
      <c r="K323" s="7">
        <v>24.11423709034601</v>
      </c>
    </row>
    <row r="324" ht="15.75" customHeight="1">
      <c r="A324" s="3" t="s">
        <v>117</v>
      </c>
      <c r="B324" s="3" t="s">
        <v>153</v>
      </c>
      <c r="C324" s="3">
        <v>23.0</v>
      </c>
      <c r="D324" s="3">
        <v>300.0</v>
      </c>
      <c r="E324" s="3">
        <v>30.0</v>
      </c>
      <c r="F324" s="3">
        <v>512.0</v>
      </c>
      <c r="G324" s="7">
        <v>29.998316591514</v>
      </c>
      <c r="H324" s="7">
        <v>5.479494977454202</v>
      </c>
      <c r="I324" s="7">
        <v>96.8192424661813</v>
      </c>
      <c r="J324" s="7">
        <v>288.790741253327</v>
      </c>
      <c r="K324" s="7">
        <v>24.2389057844841</v>
      </c>
    </row>
    <row r="325" ht="15.75" customHeight="1">
      <c r="A325" s="3" t="s">
        <v>117</v>
      </c>
      <c r="B325" s="3" t="s">
        <v>153</v>
      </c>
      <c r="C325" s="3">
        <v>24.0</v>
      </c>
      <c r="D325" s="3">
        <v>300.0</v>
      </c>
      <c r="E325" s="3">
        <v>30.0</v>
      </c>
      <c r="F325" s="3">
        <v>512.0</v>
      </c>
      <c r="G325" s="7">
        <v>30.19011458249568</v>
      </c>
      <c r="H325" s="7">
        <v>5.537034374748706</v>
      </c>
      <c r="I325" s="7">
        <v>96.90555156212305</v>
      </c>
      <c r="J325" s="7">
        <v>289.8456302037263</v>
      </c>
      <c r="K325" s="7">
        <v>24.36357447862219</v>
      </c>
    </row>
    <row r="326" ht="15.75" customHeight="1">
      <c r="A326" s="3" t="s">
        <v>117</v>
      </c>
      <c r="B326" s="3" t="s">
        <v>153</v>
      </c>
      <c r="C326" s="3">
        <v>25.0</v>
      </c>
      <c r="D326" s="3">
        <v>300.0</v>
      </c>
      <c r="E326" s="3">
        <v>30.0</v>
      </c>
      <c r="F326" s="3">
        <v>512.0</v>
      </c>
      <c r="G326" s="7">
        <v>30.40322346136422</v>
      </c>
      <c r="H326" s="7">
        <v>5.600967038409266</v>
      </c>
      <c r="I326" s="7">
        <v>97.0014505576139</v>
      </c>
      <c r="J326" s="7">
        <v>291.0177290375032</v>
      </c>
      <c r="K326" s="7">
        <v>24.50209524988674</v>
      </c>
    </row>
    <row r="327" ht="15.75" customHeight="1">
      <c r="A327" s="3" t="s">
        <v>117</v>
      </c>
      <c r="B327" s="3" t="s">
        <v>153</v>
      </c>
      <c r="C327" s="3">
        <v>26.0</v>
      </c>
      <c r="D327" s="3">
        <v>300.0</v>
      </c>
      <c r="E327" s="3">
        <v>30.0</v>
      </c>
      <c r="F327" s="3">
        <v>512.0</v>
      </c>
      <c r="G327" s="7">
        <v>30.63764322811961</v>
      </c>
      <c r="H327" s="7">
        <v>5.671292968435883</v>
      </c>
      <c r="I327" s="7">
        <v>97.10693945265382</v>
      </c>
      <c r="J327" s="7">
        <v>292.3070377546579</v>
      </c>
      <c r="K327" s="7">
        <v>24.65446809827775</v>
      </c>
    </row>
    <row r="328" ht="15.75" customHeight="1">
      <c r="A328" s="3" t="s">
        <v>117</v>
      </c>
      <c r="B328" s="3" t="s">
        <v>153</v>
      </c>
      <c r="C328" s="3">
        <v>27.0</v>
      </c>
      <c r="D328" s="3">
        <v>300.0</v>
      </c>
      <c r="E328" s="3">
        <v>30.0</v>
      </c>
      <c r="F328" s="3">
        <v>512.0</v>
      </c>
      <c r="G328" s="7">
        <v>30.89337388276185</v>
      </c>
      <c r="H328" s="7">
        <v>5.748012164828554</v>
      </c>
      <c r="I328" s="7">
        <v>97.22201824724283</v>
      </c>
      <c r="J328" s="7">
        <v>293.7135563551902</v>
      </c>
      <c r="K328" s="7">
        <v>24.8206930237952</v>
      </c>
    </row>
    <row r="329" ht="15.75" customHeight="1">
      <c r="A329" s="3" t="s">
        <v>117</v>
      </c>
      <c r="B329" s="3" t="s">
        <v>153</v>
      </c>
      <c r="C329" s="3">
        <v>28.0</v>
      </c>
      <c r="D329" s="3">
        <v>300.0</v>
      </c>
      <c r="E329" s="3">
        <v>30.0</v>
      </c>
      <c r="F329" s="3">
        <v>512.0</v>
      </c>
      <c r="G329" s="7">
        <v>31.1917263131778</v>
      </c>
      <c r="H329" s="7">
        <v>5.837517893953339</v>
      </c>
      <c r="I329" s="7">
        <v>97.35627684093001</v>
      </c>
      <c r="J329" s="7">
        <v>295.3544947224779</v>
      </c>
      <c r="K329" s="7">
        <v>25.01462210356557</v>
      </c>
    </row>
    <row r="330" ht="15.75" customHeight="1">
      <c r="A330" s="3" t="s">
        <v>117</v>
      </c>
      <c r="B330" s="3" t="s">
        <v>153</v>
      </c>
      <c r="C330" s="3">
        <v>29.0</v>
      </c>
      <c r="D330" s="3">
        <v>300.0</v>
      </c>
      <c r="E330" s="3">
        <v>30.0</v>
      </c>
      <c r="F330" s="3">
        <v>512.0</v>
      </c>
      <c r="G330" s="7">
        <v>31.5540114072543</v>
      </c>
      <c r="H330" s="7">
        <v>5.946203422176292</v>
      </c>
      <c r="I330" s="7">
        <v>97.51930513326442</v>
      </c>
      <c r="J330" s="7">
        <v>297.3470627398987</v>
      </c>
      <c r="K330" s="7">
        <v>25.2501074147153</v>
      </c>
    </row>
    <row r="331" ht="15.75" customHeight="1">
      <c r="A331" s="3" t="s">
        <v>117</v>
      </c>
      <c r="B331" s="3" t="s">
        <v>153</v>
      </c>
      <c r="C331" s="3">
        <v>30.0</v>
      </c>
      <c r="D331" s="3">
        <v>300.0</v>
      </c>
      <c r="E331" s="3">
        <v>30.0</v>
      </c>
      <c r="F331" s="3">
        <v>512.0</v>
      </c>
      <c r="G331" s="7">
        <v>32.06547271653879</v>
      </c>
      <c r="H331" s="7">
        <v>6.099641814961636</v>
      </c>
      <c r="I331" s="7">
        <v>97.74946272244244</v>
      </c>
      <c r="J331" s="7">
        <v>300.1600999409633</v>
      </c>
      <c r="K331" s="7">
        <v>25.58255726575021</v>
      </c>
    </row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0"/>
    <col customWidth="1" min="2" max="2" width="25.0"/>
    <col customWidth="1" min="3" max="3" width="16.0"/>
    <col customWidth="1" min="4" max="4" width="15.0"/>
    <col customWidth="1" min="5" max="5" width="16.0"/>
    <col customWidth="1" min="6" max="6" width="15.0"/>
    <col customWidth="1" min="7" max="7" width="14.0"/>
    <col customWidth="1" min="8" max="8" width="13.0"/>
    <col customWidth="1" min="9" max="9" width="22.0"/>
    <col customWidth="1" min="10" max="10" width="21.0"/>
    <col customWidth="1" min="11" max="11" width="16.0"/>
    <col customWidth="1" min="12" max="12" width="15.0"/>
  </cols>
  <sheetData>
    <row r="1">
      <c r="A1" s="5" t="s">
        <v>54</v>
      </c>
      <c r="B1" s="5" t="s">
        <v>133</v>
      </c>
      <c r="C1" s="5" t="s">
        <v>154</v>
      </c>
      <c r="D1" s="5" t="s">
        <v>155</v>
      </c>
      <c r="E1" s="5" t="s">
        <v>156</v>
      </c>
      <c r="F1" s="5" t="s">
        <v>157</v>
      </c>
      <c r="G1" s="5" t="s">
        <v>158</v>
      </c>
      <c r="H1" s="5" t="s">
        <v>159</v>
      </c>
      <c r="I1" s="5" t="s">
        <v>160</v>
      </c>
      <c r="J1" s="5" t="s">
        <v>161</v>
      </c>
      <c r="K1" s="5" t="s">
        <v>162</v>
      </c>
      <c r="L1" s="5" t="s">
        <v>163</v>
      </c>
    </row>
    <row r="2">
      <c r="A2" s="3" t="s">
        <v>60</v>
      </c>
      <c r="B2" s="3" t="s">
        <v>143</v>
      </c>
      <c r="C2" s="3">
        <v>18.6</v>
      </c>
      <c r="D2" s="3">
        <v>1.4</v>
      </c>
      <c r="E2" s="3">
        <v>3.7</v>
      </c>
      <c r="F2" s="3">
        <v>0.4</v>
      </c>
      <c r="G2" s="3">
        <v>98.2</v>
      </c>
      <c r="H2" s="3">
        <v>0.6</v>
      </c>
      <c r="I2" s="3">
        <v>270.0</v>
      </c>
      <c r="J2" s="3">
        <v>9.0</v>
      </c>
      <c r="K2" s="3">
        <v>22.0</v>
      </c>
      <c r="L2" s="3">
        <v>1.3</v>
      </c>
    </row>
    <row r="3">
      <c r="A3" s="3" t="s">
        <v>60</v>
      </c>
      <c r="B3" s="3" t="s">
        <v>144</v>
      </c>
      <c r="C3" s="3">
        <v>41.8</v>
      </c>
      <c r="D3" s="3">
        <v>2.3</v>
      </c>
      <c r="E3" s="3">
        <v>5.2</v>
      </c>
      <c r="F3" s="3">
        <v>0.6</v>
      </c>
      <c r="G3" s="3">
        <v>99.4</v>
      </c>
      <c r="H3" s="3">
        <v>0.3</v>
      </c>
      <c r="I3" s="3">
        <v>380.0</v>
      </c>
      <c r="J3" s="3">
        <v>12.0</v>
      </c>
      <c r="K3" s="3">
        <v>20.0</v>
      </c>
      <c r="L3" s="3">
        <v>1.1</v>
      </c>
    </row>
    <row r="4">
      <c r="A4" s="3" t="s">
        <v>86</v>
      </c>
      <c r="B4" s="3" t="s">
        <v>145</v>
      </c>
      <c r="C4" s="3">
        <v>22.4</v>
      </c>
      <c r="D4" s="3">
        <v>1.5</v>
      </c>
      <c r="E4" s="3">
        <v>4.8</v>
      </c>
      <c r="F4" s="3">
        <v>0.5</v>
      </c>
      <c r="G4" s="3">
        <v>98.6</v>
      </c>
      <c r="H4" s="3">
        <v>0.5</v>
      </c>
      <c r="I4" s="3">
        <v>240.0</v>
      </c>
      <c r="J4" s="3">
        <v>8.0</v>
      </c>
      <c r="K4" s="3">
        <v>24.0</v>
      </c>
      <c r="L4" s="3">
        <v>1.5</v>
      </c>
    </row>
    <row r="5">
      <c r="A5" s="3" t="s">
        <v>86</v>
      </c>
      <c r="B5" s="3" t="s">
        <v>146</v>
      </c>
      <c r="C5" s="3">
        <v>38.9</v>
      </c>
      <c r="D5" s="3">
        <v>2.1</v>
      </c>
      <c r="E5" s="3">
        <v>6.3</v>
      </c>
      <c r="F5" s="3">
        <v>0.8</v>
      </c>
      <c r="G5" s="3">
        <v>99.1</v>
      </c>
      <c r="H5" s="3">
        <v>0.4</v>
      </c>
      <c r="I5" s="3">
        <v>420.0</v>
      </c>
      <c r="J5" s="3">
        <v>15.0</v>
      </c>
      <c r="K5" s="3">
        <v>23.0</v>
      </c>
      <c r="L5" s="3">
        <v>1.2</v>
      </c>
    </row>
    <row r="6">
      <c r="A6" s="3" t="s">
        <v>86</v>
      </c>
      <c r="B6" s="3" t="s">
        <v>147</v>
      </c>
      <c r="C6" s="3">
        <v>76.2</v>
      </c>
      <c r="D6" s="3">
        <v>4.8</v>
      </c>
      <c r="E6" s="3">
        <v>12.1</v>
      </c>
      <c r="F6" s="3">
        <v>1.0</v>
      </c>
      <c r="G6" s="3">
        <v>99.5</v>
      </c>
      <c r="H6" s="3">
        <v>0.2</v>
      </c>
      <c r="I6" s="3">
        <v>800.0</v>
      </c>
      <c r="J6" s="3">
        <v>18.0</v>
      </c>
      <c r="K6" s="3">
        <v>25.0</v>
      </c>
      <c r="L6" s="3">
        <v>1.4</v>
      </c>
    </row>
    <row r="7">
      <c r="A7" s="3" t="s">
        <v>101</v>
      </c>
      <c r="B7" s="3" t="s">
        <v>148</v>
      </c>
      <c r="C7" s="3">
        <v>19.7</v>
      </c>
      <c r="D7" s="3">
        <v>1.2</v>
      </c>
      <c r="E7" s="3">
        <v>3.2</v>
      </c>
      <c r="F7" s="3">
        <v>0.3</v>
      </c>
      <c r="G7" s="3">
        <v>97.8</v>
      </c>
      <c r="H7" s="3">
        <v>0.8</v>
      </c>
      <c r="I7" s="3">
        <v>260.0</v>
      </c>
      <c r="J7" s="3">
        <v>10.0</v>
      </c>
      <c r="K7" s="3">
        <v>28.0</v>
      </c>
      <c r="L7" s="3">
        <v>1.6</v>
      </c>
    </row>
    <row r="8">
      <c r="A8" s="3" t="s">
        <v>101</v>
      </c>
      <c r="B8" s="3" t="s">
        <v>149</v>
      </c>
      <c r="C8" s="3">
        <v>33.2</v>
      </c>
      <c r="D8" s="3">
        <v>1.9</v>
      </c>
      <c r="E8" s="3">
        <v>5.5</v>
      </c>
      <c r="F8" s="3">
        <v>0.7</v>
      </c>
      <c r="G8" s="3">
        <v>99.0</v>
      </c>
      <c r="H8" s="3">
        <v>0.4</v>
      </c>
      <c r="I8" s="3">
        <v>330.0</v>
      </c>
      <c r="J8" s="3">
        <v>11.0</v>
      </c>
      <c r="K8" s="3">
        <v>19.4</v>
      </c>
      <c r="L8" s="3">
        <v>1.1</v>
      </c>
    </row>
    <row r="9">
      <c r="A9" s="3" t="s">
        <v>101</v>
      </c>
      <c r="B9" s="3" t="s">
        <v>150</v>
      </c>
      <c r="C9" s="3">
        <v>41.5</v>
      </c>
      <c r="D9" s="3">
        <v>2.8</v>
      </c>
      <c r="E9" s="3">
        <v>6.1</v>
      </c>
      <c r="F9" s="3">
        <v>0.9</v>
      </c>
      <c r="G9" s="3">
        <v>95.4</v>
      </c>
      <c r="H9" s="3">
        <v>1.2</v>
      </c>
      <c r="I9" s="3">
        <v>310.0</v>
      </c>
      <c r="J9" s="3">
        <v>13.0</v>
      </c>
      <c r="K9" s="3">
        <v>22.1</v>
      </c>
      <c r="L9" s="3">
        <v>1.4</v>
      </c>
    </row>
    <row r="10">
      <c r="A10" s="3" t="s">
        <v>117</v>
      </c>
      <c r="B10" s="3" t="s">
        <v>151</v>
      </c>
      <c r="C10" s="3">
        <v>17.5</v>
      </c>
      <c r="D10" s="3">
        <v>1.1</v>
      </c>
      <c r="E10" s="3">
        <v>2.9</v>
      </c>
      <c r="F10" s="3">
        <v>0.3</v>
      </c>
      <c r="G10" s="3">
        <v>98.5</v>
      </c>
      <c r="H10" s="3">
        <v>0.5</v>
      </c>
      <c r="I10" s="3">
        <v>310.0</v>
      </c>
      <c r="J10" s="3">
        <v>12.0</v>
      </c>
      <c r="K10" s="3">
        <v>22.0</v>
      </c>
      <c r="L10" s="3">
        <v>1.3</v>
      </c>
    </row>
    <row r="11">
      <c r="A11" s="3" t="s">
        <v>117</v>
      </c>
      <c r="B11" s="3" t="s">
        <v>152</v>
      </c>
      <c r="C11" s="3">
        <v>21.0</v>
      </c>
      <c r="D11" s="3">
        <v>1.4</v>
      </c>
      <c r="E11" s="3">
        <v>3.6</v>
      </c>
      <c r="F11" s="3">
        <v>0.4</v>
      </c>
      <c r="G11" s="3">
        <v>97.9</v>
      </c>
      <c r="H11" s="3">
        <v>0.6</v>
      </c>
      <c r="I11" s="3">
        <v>250.0</v>
      </c>
      <c r="J11" s="3">
        <v>10.0</v>
      </c>
      <c r="K11" s="3">
        <v>21.2</v>
      </c>
      <c r="L11" s="3">
        <v>1.2</v>
      </c>
    </row>
    <row r="12">
      <c r="A12" s="3" t="s">
        <v>117</v>
      </c>
      <c r="B12" s="3" t="s">
        <v>153</v>
      </c>
      <c r="C12" s="3">
        <v>28.4</v>
      </c>
      <c r="D12" s="3">
        <v>2.0</v>
      </c>
      <c r="E12" s="3">
        <v>5.0</v>
      </c>
      <c r="F12" s="3">
        <v>0.6</v>
      </c>
      <c r="G12" s="3">
        <v>96.1</v>
      </c>
      <c r="H12" s="3">
        <v>0.9</v>
      </c>
      <c r="I12" s="3">
        <v>280.0</v>
      </c>
      <c r="J12" s="3">
        <v>11.0</v>
      </c>
      <c r="K12" s="3">
        <v>23.2</v>
      </c>
      <c r="L12" s="3">
        <v>1.3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0"/>
    <col customWidth="1" min="2" max="2" width="25.0"/>
    <col customWidth="1" min="3" max="3" width="14.0"/>
    <col customWidth="1" min="4" max="4" width="13.0"/>
    <col customWidth="1" min="5" max="5" width="14.0"/>
    <col customWidth="1" min="6" max="7" width="13.0"/>
    <col customWidth="1" min="8" max="8" width="12.0"/>
    <col customWidth="1" min="9" max="9" width="20.0"/>
    <col customWidth="1" min="10" max="10" width="19.0"/>
    <col customWidth="1" min="11" max="11" width="14.0"/>
    <col customWidth="1" min="12" max="12" width="13.0"/>
  </cols>
  <sheetData>
    <row r="1">
      <c r="A1" s="5" t="s">
        <v>54</v>
      </c>
      <c r="B1" s="5" t="s">
        <v>133</v>
      </c>
      <c r="C1" s="5" t="s">
        <v>164</v>
      </c>
      <c r="D1" s="5" t="s">
        <v>165</v>
      </c>
      <c r="E1" s="5" t="s">
        <v>166</v>
      </c>
      <c r="F1" s="5" t="s">
        <v>167</v>
      </c>
      <c r="G1" s="5" t="s">
        <v>168</v>
      </c>
      <c r="H1" s="5" t="s">
        <v>169</v>
      </c>
      <c r="I1" s="5" t="s">
        <v>170</v>
      </c>
      <c r="J1" s="5" t="s">
        <v>171</v>
      </c>
      <c r="K1" s="5" t="s">
        <v>172</v>
      </c>
      <c r="L1" s="5" t="s">
        <v>173</v>
      </c>
    </row>
    <row r="2">
      <c r="A2" s="3" t="s">
        <v>60</v>
      </c>
      <c r="B2" s="3" t="s">
        <v>143</v>
      </c>
      <c r="C2" s="3" t="str">
        <f>AVERAGEIFS(Raw_Run_Data!$G:$G,Raw_Run_Data!$A:$A,$A2,Raw_Run_Data!$B:$B,$B2)</f>
        <v>18.6</v>
      </c>
      <c r="D2" s="3" t="str">
        <f>IFERROR(__xludf.DUMMYFUNCTION("STDEV.S(FILTER(Raw_Run_Data!$G:$G,(Raw_Run_Data!$A:$A=$A2)*(Raw_Run_Data!$B:$B=$B2)))"),1.4000000000000021)</f>
        <v>1.4</v>
      </c>
      <c r="E2" s="3" t="str">
        <f>AVERAGEIFS(Raw_Run_Data!$H:$H,Raw_Run_Data!$A:$A,$A2,Raw_Run_Data!$B:$B,$B2)</f>
        <v>3.7</v>
      </c>
      <c r="F2" s="3" t="str">
        <f>IFERROR(__xludf.DUMMYFUNCTION("STDEV.S(FILTER(Raw_Run_Data!$H:$H,(Raw_Run_Data!$A:$A=$A2)*(Raw_Run_Data!$B:$B=$B2)))"),0.4000000000000001)</f>
        <v>0.4</v>
      </c>
      <c r="G2" s="3" t="str">
        <f>AVERAGEIFS(Raw_Run_Data!$I:$I,Raw_Run_Data!$A:$A,$A2,Raw_Run_Data!$B:$B,$B2)</f>
        <v>98.2</v>
      </c>
      <c r="H2" s="3" t="str">
        <f>IFERROR(__xludf.DUMMYFUNCTION("STDEV.S(FILTER(Raw_Run_Data!$I:$I,(Raw_Run_Data!$A:$A=$A2)*(Raw_Run_Data!$B:$B=$B2)))"),0.5999999999999956)</f>
        <v>0.6</v>
      </c>
      <c r="I2" s="3" t="str">
        <f>AVERAGEIFS(Raw_Run_Data!$J:$J,Raw_Run_Data!$A:$A,$A2,Raw_Run_Data!$B:$B,$B2)</f>
        <v>270</v>
      </c>
      <c r="J2" s="3" t="str">
        <f>IFERROR(__xludf.DUMMYFUNCTION("STDEV.S(FILTER(Raw_Run_Data!$J:$J,(Raw_Run_Data!$A:$A=$A2)*(Raw_Run_Data!$B:$B=$B2)))"),8.999999999999988)</f>
        <v>9</v>
      </c>
      <c r="K2" s="3" t="str">
        <f>AVERAGEIFS(Raw_Run_Data!$K:$K,Raw_Run_Data!$A:$A,$A2,Raw_Run_Data!$B:$B,$B2)</f>
        <v>22</v>
      </c>
      <c r="L2" s="3" t="str">
        <f>IFERROR(__xludf.DUMMYFUNCTION("STDEV.S(FILTER(Raw_Run_Data!$K:$K,(Raw_Run_Data!$A:$A=$A2)*(Raw_Run_Data!$B:$B=$B2)))"),1.3000000000000003)</f>
        <v>1.3</v>
      </c>
    </row>
    <row r="3">
      <c r="A3" s="3" t="s">
        <v>60</v>
      </c>
      <c r="B3" s="3" t="s">
        <v>144</v>
      </c>
      <c r="C3" s="3" t="str">
        <f>AVERAGEIFS(Raw_Run_Data!$G:$G,Raw_Run_Data!$A:$A,$A3,Raw_Run_Data!$B:$B,$B3)</f>
        <v>41.8</v>
      </c>
      <c r="D3" s="3" t="str">
        <f>IFERROR(__xludf.DUMMYFUNCTION("STDEV.S(FILTER(Raw_Run_Data!$G:$G,(Raw_Run_Data!$A:$A=$A3)*(Raw_Run_Data!$B:$B=$B3)))"),2.3000000000000034)</f>
        <v>2.3</v>
      </c>
      <c r="E3" s="3" t="str">
        <f>AVERAGEIFS(Raw_Run_Data!$H:$H,Raw_Run_Data!$A:$A,$A3,Raw_Run_Data!$B:$B,$B3)</f>
        <v>5.2</v>
      </c>
      <c r="F3" s="3" t="str">
        <f>IFERROR(__xludf.DUMMYFUNCTION("STDEV.S(FILTER(Raw_Run_Data!$H:$H,(Raw_Run_Data!$A:$A=$A3)*(Raw_Run_Data!$B:$B=$B3)))"),0.6000000000000009)</f>
        <v>0.6</v>
      </c>
      <c r="G3" s="3" t="str">
        <f>AVERAGEIFS(Raw_Run_Data!$I:$I,Raw_Run_Data!$A:$A,$A3,Raw_Run_Data!$B:$B,$B3)</f>
        <v>99.4</v>
      </c>
      <c r="H3" s="3" t="str">
        <f>IFERROR(__xludf.DUMMYFUNCTION("STDEV.S(FILTER(Raw_Run_Data!$I:$I,(Raw_Run_Data!$A:$A=$A3)*(Raw_Run_Data!$B:$B=$B3)))"),0.29999999999998955)</f>
        <v>0.3</v>
      </c>
      <c r="I3" s="3" t="str">
        <f>AVERAGEIFS(Raw_Run_Data!$J:$J,Raw_Run_Data!$A:$A,$A3,Raw_Run_Data!$B:$B,$B3)</f>
        <v>380</v>
      </c>
      <c r="J3" s="3" t="str">
        <f>IFERROR(__xludf.DUMMYFUNCTION("STDEV.S(FILTER(Raw_Run_Data!$J:$J,(Raw_Run_Data!$A:$A=$A3)*(Raw_Run_Data!$B:$B=$B3)))"),11.999999999999998)</f>
        <v>12</v>
      </c>
      <c r="K3" s="3" t="str">
        <f>AVERAGEIFS(Raw_Run_Data!$K:$K,Raw_Run_Data!$A:$A,$A3,Raw_Run_Data!$B:$B,$B3)</f>
        <v>20</v>
      </c>
      <c r="L3" s="3" t="str">
        <f>IFERROR(__xludf.DUMMYFUNCTION("STDEV.S(FILTER(Raw_Run_Data!$K:$K,(Raw_Run_Data!$A:$A=$A3)*(Raw_Run_Data!$B:$B=$B3)))"),1.0999999999999999)</f>
        <v>1.1</v>
      </c>
    </row>
    <row r="4">
      <c r="A4" s="3" t="s">
        <v>86</v>
      </c>
      <c r="B4" s="3" t="s">
        <v>145</v>
      </c>
      <c r="C4" s="3" t="str">
        <f>AVERAGEIFS(Raw_Run_Data!$G:$G,Raw_Run_Data!$A:$A,$A4,Raw_Run_Data!$B:$B,$B4)</f>
        <v>22.4</v>
      </c>
      <c r="D4" s="3" t="str">
        <f>IFERROR(__xludf.DUMMYFUNCTION("STDEV.S(FILTER(Raw_Run_Data!$G:$G,(Raw_Run_Data!$A:$A=$A4)*(Raw_Run_Data!$B:$B=$B4)))"),1.5000000000000013)</f>
        <v>1.5</v>
      </c>
      <c r="E4" s="3" t="str">
        <f>AVERAGEIFS(Raw_Run_Data!$H:$H,Raw_Run_Data!$A:$A,$A4,Raw_Run_Data!$B:$B,$B4)</f>
        <v>4.8</v>
      </c>
      <c r="F4" s="3" t="str">
        <f>IFERROR(__xludf.DUMMYFUNCTION("STDEV.S(FILTER(Raw_Run_Data!$H:$H,(Raw_Run_Data!$A:$A=$A4)*(Raw_Run_Data!$B:$B=$B4)))"),0.5000000000000002)</f>
        <v>0.5</v>
      </c>
      <c r="G4" s="3" t="str">
        <f>AVERAGEIFS(Raw_Run_Data!$I:$I,Raw_Run_Data!$A:$A,$A4,Raw_Run_Data!$B:$B,$B4)</f>
        <v>98.6</v>
      </c>
      <c r="H4" s="3" t="str">
        <f>IFERROR(__xludf.DUMMYFUNCTION("STDEV.S(FILTER(Raw_Run_Data!$I:$I,(Raw_Run_Data!$A:$A=$A4)*(Raw_Run_Data!$B:$B=$B4)))"),0.49999999999999883)</f>
        <v>0.5</v>
      </c>
      <c r="I4" s="3" t="str">
        <f>AVERAGEIFS(Raw_Run_Data!$J:$J,Raw_Run_Data!$A:$A,$A4,Raw_Run_Data!$B:$B,$B4)</f>
        <v>240</v>
      </c>
      <c r="J4" s="3" t="str">
        <f>IFERROR(__xludf.DUMMYFUNCTION("STDEV.S(FILTER(Raw_Run_Data!$J:$J,(Raw_Run_Data!$A:$A=$A4)*(Raw_Run_Data!$B:$B=$B4)))"),7.999999999999976)</f>
        <v>8</v>
      </c>
      <c r="K4" s="3" t="str">
        <f>AVERAGEIFS(Raw_Run_Data!$K:$K,Raw_Run_Data!$A:$A,$A4,Raw_Run_Data!$B:$B,$B4)</f>
        <v>24</v>
      </c>
      <c r="L4" s="3" t="str">
        <f>IFERROR(__xludf.DUMMYFUNCTION("STDEV.S(FILTER(Raw_Run_Data!$K:$K,(Raw_Run_Data!$A:$A=$A4)*(Raw_Run_Data!$B:$B=$B4)))"),1.499999999999999)</f>
        <v>1.5</v>
      </c>
    </row>
    <row r="5">
      <c r="A5" s="3" t="s">
        <v>86</v>
      </c>
      <c r="B5" s="3" t="s">
        <v>146</v>
      </c>
      <c r="C5" s="3" t="str">
        <f>AVERAGEIFS(Raw_Run_Data!$G:$G,Raw_Run_Data!$A:$A,$A5,Raw_Run_Data!$B:$B,$B5)</f>
        <v>38.9</v>
      </c>
      <c r="D5" s="3" t="str">
        <f>IFERROR(__xludf.DUMMYFUNCTION("STDEV.S(FILTER(Raw_Run_Data!$G:$G,(Raw_Run_Data!$A:$A=$A5)*(Raw_Run_Data!$B:$B=$B5)))"),2.099999999999994)</f>
        <v>2.1</v>
      </c>
      <c r="E5" s="3" t="str">
        <f>AVERAGEIFS(Raw_Run_Data!$H:$H,Raw_Run_Data!$A:$A,$A5,Raw_Run_Data!$B:$B,$B5)</f>
        <v>6.3</v>
      </c>
      <c r="F5" s="3" t="str">
        <f>IFERROR(__xludf.DUMMYFUNCTION("STDEV.S(FILTER(Raw_Run_Data!$H:$H,(Raw_Run_Data!$A:$A=$A5)*(Raw_Run_Data!$B:$B=$B5)))"),0.8000000000000003)</f>
        <v>0.8</v>
      </c>
      <c r="G5" s="3" t="str">
        <f>AVERAGEIFS(Raw_Run_Data!$I:$I,Raw_Run_Data!$A:$A,$A5,Raw_Run_Data!$B:$B,$B5)</f>
        <v>99.1</v>
      </c>
      <c r="H5" s="3" t="str">
        <f>IFERROR(__xludf.DUMMYFUNCTION("STDEV.S(FILTER(Raw_Run_Data!$I:$I,(Raw_Run_Data!$A:$A=$A5)*(Raw_Run_Data!$B:$B=$B5)))"),0.3999999999999896)</f>
        <v>0.4</v>
      </c>
      <c r="I5" s="3" t="str">
        <f>AVERAGEIFS(Raw_Run_Data!$J:$J,Raw_Run_Data!$A:$A,$A5,Raw_Run_Data!$B:$B,$B5)</f>
        <v>420</v>
      </c>
      <c r="J5" s="3" t="str">
        <f>IFERROR(__xludf.DUMMYFUNCTION("STDEV.S(FILTER(Raw_Run_Data!$J:$J,(Raw_Run_Data!$A:$A=$A5)*(Raw_Run_Data!$B:$B=$B5)))"),14.999999999999938)</f>
        <v>15</v>
      </c>
      <c r="K5" s="3" t="str">
        <f>AVERAGEIFS(Raw_Run_Data!$K:$K,Raw_Run_Data!$A:$A,$A5,Raw_Run_Data!$B:$B,$B5)</f>
        <v>23</v>
      </c>
      <c r="L5" s="3" t="str">
        <f>IFERROR(__xludf.DUMMYFUNCTION("STDEV.S(FILTER(Raw_Run_Data!$K:$K,(Raw_Run_Data!$A:$A=$A5)*(Raw_Run_Data!$B:$B=$B5)))"),1.1999999999999997)</f>
        <v>1.2</v>
      </c>
    </row>
    <row r="6">
      <c r="A6" s="3" t="s">
        <v>86</v>
      </c>
      <c r="B6" s="3" t="s">
        <v>147</v>
      </c>
      <c r="C6" s="3" t="str">
        <f>AVERAGEIFS(Raw_Run_Data!$G:$G,Raw_Run_Data!$A:$A,$A6,Raw_Run_Data!$B:$B,$B6)</f>
        <v>76.2</v>
      </c>
      <c r="D6" s="3" t="str">
        <f>IFERROR(__xludf.DUMMYFUNCTION("STDEV.S(FILTER(Raw_Run_Data!$G:$G,(Raw_Run_Data!$A:$A=$A6)*(Raw_Run_Data!$B:$B=$B6)))"),4.800000000000002)</f>
        <v>4.8</v>
      </c>
      <c r="E6" s="3" t="str">
        <f>AVERAGEIFS(Raw_Run_Data!$H:$H,Raw_Run_Data!$A:$A,$A6,Raw_Run_Data!$B:$B,$B6)</f>
        <v>12.1</v>
      </c>
      <c r="F6" s="3" t="str">
        <f>IFERROR(__xludf.DUMMYFUNCTION("STDEV.S(FILTER(Raw_Run_Data!$H:$H,(Raw_Run_Data!$A:$A=$A6)*(Raw_Run_Data!$B:$B=$B6)))"),0.999999999999998)</f>
        <v>1</v>
      </c>
      <c r="G6" s="3" t="str">
        <f>AVERAGEIFS(Raw_Run_Data!$I:$I,Raw_Run_Data!$A:$A,$A6,Raw_Run_Data!$B:$B,$B6)</f>
        <v>99.5</v>
      </c>
      <c r="H6" s="3" t="str">
        <f>IFERROR(__xludf.DUMMYFUNCTION("STDEV.S(FILTER(Raw_Run_Data!$I:$I,(Raw_Run_Data!$A:$A=$A6)*(Raw_Run_Data!$B:$B=$B6)))"),0.19999999999998622)</f>
        <v>0.2</v>
      </c>
      <c r="I6" s="3" t="str">
        <f>AVERAGEIFS(Raw_Run_Data!$J:$J,Raw_Run_Data!$A:$A,$A6,Raw_Run_Data!$B:$B,$B6)</f>
        <v>800</v>
      </c>
      <c r="J6" s="3" t="str">
        <f>IFERROR(__xludf.DUMMYFUNCTION("STDEV.S(FILTER(Raw_Run_Data!$J:$J,(Raw_Run_Data!$A:$A=$A6)*(Raw_Run_Data!$B:$B=$B6)))"),18.00000000000007)</f>
        <v>18</v>
      </c>
      <c r="K6" s="3" t="str">
        <f>AVERAGEIFS(Raw_Run_Data!$K:$K,Raw_Run_Data!$A:$A,$A6,Raw_Run_Data!$B:$B,$B6)</f>
        <v>25</v>
      </c>
      <c r="L6" s="3" t="str">
        <f>IFERROR(__xludf.DUMMYFUNCTION("STDEV.S(FILTER(Raw_Run_Data!$K:$K,(Raw_Run_Data!$A:$A=$A6)*(Raw_Run_Data!$B:$B=$B6)))"),1.400000000000003)</f>
        <v>1.4</v>
      </c>
    </row>
    <row r="7">
      <c r="A7" s="3" t="s">
        <v>101</v>
      </c>
      <c r="B7" s="3" t="s">
        <v>148</v>
      </c>
      <c r="C7" s="3" t="str">
        <f>AVERAGEIFS(Raw_Run_Data!$G:$G,Raw_Run_Data!$A:$A,$A7,Raw_Run_Data!$B:$B,$B7)</f>
        <v>19.7</v>
      </c>
      <c r="D7" s="3" t="str">
        <f>IFERROR(__xludf.DUMMYFUNCTION("STDEV.S(FILTER(Raw_Run_Data!$G:$G,(Raw_Run_Data!$A:$A=$A7)*(Raw_Run_Data!$B:$B=$B7)))"),1.2000000000000002)</f>
        <v>1.2</v>
      </c>
      <c r="E7" s="3" t="str">
        <f>AVERAGEIFS(Raw_Run_Data!$H:$H,Raw_Run_Data!$A:$A,$A7,Raw_Run_Data!$B:$B,$B7)</f>
        <v>3.2</v>
      </c>
      <c r="F7" s="3" t="str">
        <f>IFERROR(__xludf.DUMMYFUNCTION("STDEV.S(FILTER(Raw_Run_Data!$H:$H,(Raw_Run_Data!$A:$A=$A7)*(Raw_Run_Data!$B:$B=$B7)))"),0.3000000000000005)</f>
        <v>0.3</v>
      </c>
      <c r="G7" s="3" t="str">
        <f>AVERAGEIFS(Raw_Run_Data!$I:$I,Raw_Run_Data!$A:$A,$A7,Raw_Run_Data!$B:$B,$B7)</f>
        <v>97.8</v>
      </c>
      <c r="H7" s="3" t="str">
        <f>IFERROR(__xludf.DUMMYFUNCTION("STDEV.S(FILTER(Raw_Run_Data!$I:$I,(Raw_Run_Data!$A:$A=$A7)*(Raw_Run_Data!$B:$B=$B7)))"),0.8000000000000062)</f>
        <v>0.8</v>
      </c>
      <c r="I7" s="3" t="str">
        <f>AVERAGEIFS(Raw_Run_Data!$J:$J,Raw_Run_Data!$A:$A,$A7,Raw_Run_Data!$B:$B,$B7)</f>
        <v>260</v>
      </c>
      <c r="J7" s="3" t="str">
        <f>IFERROR(__xludf.DUMMYFUNCTION("STDEV.S(FILTER(Raw_Run_Data!$J:$J,(Raw_Run_Data!$A:$A=$A7)*(Raw_Run_Data!$B:$B=$B7)))"),9.999999999999984)</f>
        <v>10</v>
      </c>
      <c r="K7" s="3" t="str">
        <f>AVERAGEIFS(Raw_Run_Data!$K:$K,Raw_Run_Data!$A:$A,$A7,Raw_Run_Data!$B:$B,$B7)</f>
        <v>28</v>
      </c>
      <c r="L7" s="3" t="str">
        <f>IFERROR(__xludf.DUMMYFUNCTION("STDEV.S(FILTER(Raw_Run_Data!$K:$K,(Raw_Run_Data!$A:$A=$A7)*(Raw_Run_Data!$B:$B=$B7)))"),1.6000000000000012)</f>
        <v>1.6</v>
      </c>
    </row>
    <row r="8">
      <c r="A8" s="3" t="s">
        <v>101</v>
      </c>
      <c r="B8" s="3" t="s">
        <v>149</v>
      </c>
      <c r="C8" s="3" t="str">
        <f>AVERAGEIFS(Raw_Run_Data!$G:$G,Raw_Run_Data!$A:$A,$A8,Raw_Run_Data!$B:$B,$B8)</f>
        <v>33.2</v>
      </c>
      <c r="D8" s="3" t="str">
        <f>IFERROR(__xludf.DUMMYFUNCTION("STDEV.S(FILTER(Raw_Run_Data!$G:$G,(Raw_Run_Data!$A:$A=$A8)*(Raw_Run_Data!$B:$B=$B8)))"),1.899999999999999)</f>
        <v>1.9</v>
      </c>
      <c r="E8" s="3" t="str">
        <f>AVERAGEIFS(Raw_Run_Data!$H:$H,Raw_Run_Data!$A:$A,$A8,Raw_Run_Data!$B:$B,$B8)</f>
        <v>5.5</v>
      </c>
      <c r="F8" s="3" t="str">
        <f>IFERROR(__xludf.DUMMYFUNCTION("STDEV.S(FILTER(Raw_Run_Data!$H:$H,(Raw_Run_Data!$A:$A=$A8)*(Raw_Run_Data!$B:$B=$B8)))"),0.6999999999999995)</f>
        <v>0.7</v>
      </c>
      <c r="G8" s="3" t="str">
        <f>AVERAGEIFS(Raw_Run_Data!$I:$I,Raw_Run_Data!$A:$A,$A8,Raw_Run_Data!$B:$B,$B8)</f>
        <v>99</v>
      </c>
      <c r="H8" s="3" t="str">
        <f>IFERROR(__xludf.DUMMYFUNCTION("STDEV.S(FILTER(Raw_Run_Data!$I:$I,(Raw_Run_Data!$A:$A=$A8)*(Raw_Run_Data!$B:$B=$B8)))"),0.3999999999999896)</f>
        <v>0.4</v>
      </c>
      <c r="I8" s="3" t="str">
        <f>AVERAGEIFS(Raw_Run_Data!$J:$J,Raw_Run_Data!$A:$A,$A8,Raw_Run_Data!$B:$B,$B8)</f>
        <v>330</v>
      </c>
      <c r="J8" s="3" t="str">
        <f>IFERROR(__xludf.DUMMYFUNCTION("STDEV.S(FILTER(Raw_Run_Data!$J:$J,(Raw_Run_Data!$A:$A=$A8)*(Raw_Run_Data!$B:$B=$B8)))"),10.999999999999977)</f>
        <v>11</v>
      </c>
      <c r="K8" s="3" t="str">
        <f>AVERAGEIFS(Raw_Run_Data!$K:$K,Raw_Run_Data!$A:$A,$A8,Raw_Run_Data!$B:$B,$B8)</f>
        <v>19.4</v>
      </c>
      <c r="L8" s="3" t="str">
        <f>IFERROR(__xludf.DUMMYFUNCTION("STDEV.S(FILTER(Raw_Run_Data!$K:$K,(Raw_Run_Data!$A:$A=$A8)*(Raw_Run_Data!$B:$B=$B8)))"),1.1000000000000005)</f>
        <v>1.1</v>
      </c>
    </row>
    <row r="9">
      <c r="A9" s="3" t="s">
        <v>101</v>
      </c>
      <c r="B9" s="3" t="s">
        <v>150</v>
      </c>
      <c r="C9" s="3" t="str">
        <f>AVERAGEIFS(Raw_Run_Data!$G:$G,Raw_Run_Data!$A:$A,$A9,Raw_Run_Data!$B:$B,$B9)</f>
        <v>41.5</v>
      </c>
      <c r="D9" s="3" t="str">
        <f>IFERROR(__xludf.DUMMYFUNCTION("STDEV.S(FILTER(Raw_Run_Data!$G:$G,(Raw_Run_Data!$A:$A=$A9)*(Raw_Run_Data!$B:$B=$B9)))"),2.800000000000002)</f>
        <v>2.8</v>
      </c>
      <c r="E9" s="3" t="str">
        <f>AVERAGEIFS(Raw_Run_Data!$H:$H,Raw_Run_Data!$A:$A,$A9,Raw_Run_Data!$B:$B,$B9)</f>
        <v>6.1</v>
      </c>
      <c r="F9" s="3" t="str">
        <f>IFERROR(__xludf.DUMMYFUNCTION("STDEV.S(FILTER(Raw_Run_Data!$H:$H,(Raw_Run_Data!$A:$A=$A9)*(Raw_Run_Data!$B:$B=$B9)))"),0.8999999999999995)</f>
        <v>0.9</v>
      </c>
      <c r="G9" s="3" t="str">
        <f>AVERAGEIFS(Raw_Run_Data!$I:$I,Raw_Run_Data!$A:$A,$A9,Raw_Run_Data!$B:$B,$B9)</f>
        <v>95.4</v>
      </c>
      <c r="H9" s="3" t="str">
        <f>IFERROR(__xludf.DUMMYFUNCTION("STDEV.S(FILTER(Raw_Run_Data!$I:$I,(Raw_Run_Data!$A:$A=$A9)*(Raw_Run_Data!$B:$B=$B9)))"),1.2000000000000004)</f>
        <v>1.2</v>
      </c>
      <c r="I9" s="3" t="str">
        <f>AVERAGEIFS(Raw_Run_Data!$J:$J,Raw_Run_Data!$A:$A,$A9,Raw_Run_Data!$B:$B,$B9)</f>
        <v>310</v>
      </c>
      <c r="J9" s="3" t="str">
        <f>IFERROR(__xludf.DUMMYFUNCTION("STDEV.S(FILTER(Raw_Run_Data!$J:$J,(Raw_Run_Data!$A:$A=$A9)*(Raw_Run_Data!$B:$B=$B9)))"),12.999999999999954)</f>
        <v>13</v>
      </c>
      <c r="K9" s="3" t="str">
        <f>AVERAGEIFS(Raw_Run_Data!$K:$K,Raw_Run_Data!$A:$A,$A9,Raw_Run_Data!$B:$B,$B9)</f>
        <v>22.1</v>
      </c>
      <c r="L9" s="3" t="str">
        <f>IFERROR(__xludf.DUMMYFUNCTION("STDEV.S(FILTER(Raw_Run_Data!$K:$K,(Raw_Run_Data!$A:$A=$A9)*(Raw_Run_Data!$B:$B=$B9)))"),1.4000000000000021)</f>
        <v>1.4</v>
      </c>
    </row>
    <row r="10">
      <c r="A10" s="3" t="s">
        <v>117</v>
      </c>
      <c r="B10" s="3" t="s">
        <v>151</v>
      </c>
      <c r="C10" s="3" t="str">
        <f>AVERAGEIFS(Raw_Run_Data!$G:$G,Raw_Run_Data!$A:$A,$A10,Raw_Run_Data!$B:$B,$B10)</f>
        <v>17.5</v>
      </c>
      <c r="D10" s="3" t="str">
        <f>IFERROR(__xludf.DUMMYFUNCTION("STDEV.S(FILTER(Raw_Run_Data!$G:$G,(Raw_Run_Data!$A:$A=$A10)*(Raw_Run_Data!$B:$B=$B10)))"),1.1)</f>
        <v>1.1</v>
      </c>
      <c r="E10" s="3" t="str">
        <f>AVERAGEIFS(Raw_Run_Data!$H:$H,Raw_Run_Data!$A:$A,$A10,Raw_Run_Data!$B:$B,$B10)</f>
        <v>2.9</v>
      </c>
      <c r="F10" s="3" t="str">
        <f>IFERROR(__xludf.DUMMYFUNCTION("STDEV.S(FILTER(Raw_Run_Data!$H:$H,(Raw_Run_Data!$A:$A=$A10)*(Raw_Run_Data!$B:$B=$B10)))"),0.30000000000000004)</f>
        <v>0.3</v>
      </c>
      <c r="G10" s="3" t="str">
        <f>AVERAGEIFS(Raw_Run_Data!$I:$I,Raw_Run_Data!$A:$A,$A10,Raw_Run_Data!$B:$B,$B10)</f>
        <v>98.5</v>
      </c>
      <c r="H10" s="3" t="str">
        <f>IFERROR(__xludf.DUMMYFUNCTION("STDEV.S(FILTER(Raw_Run_Data!$I:$I,(Raw_Run_Data!$A:$A=$A10)*(Raw_Run_Data!$B:$B=$B10)))"),0.49999999999999883)</f>
        <v>0.5</v>
      </c>
      <c r="I10" s="3" t="str">
        <f>AVERAGEIFS(Raw_Run_Data!$J:$J,Raw_Run_Data!$A:$A,$A10,Raw_Run_Data!$B:$B,$B10)</f>
        <v>310</v>
      </c>
      <c r="J10" s="3" t="str">
        <f>IFERROR(__xludf.DUMMYFUNCTION("STDEV.S(FILTER(Raw_Run_Data!$J:$J,(Raw_Run_Data!$A:$A=$A10)*(Raw_Run_Data!$B:$B=$B10)))"),11.999999999999998)</f>
        <v>12</v>
      </c>
      <c r="K10" s="3" t="str">
        <f>AVERAGEIFS(Raw_Run_Data!$K:$K,Raw_Run_Data!$A:$A,$A10,Raw_Run_Data!$B:$B,$B10)</f>
        <v>22</v>
      </c>
      <c r="L10" s="3" t="str">
        <f>IFERROR(__xludf.DUMMYFUNCTION("STDEV.S(FILTER(Raw_Run_Data!$K:$K,(Raw_Run_Data!$A:$A=$A10)*(Raw_Run_Data!$B:$B=$B10)))"),1.3000000000000003)</f>
        <v>1.3</v>
      </c>
    </row>
    <row r="11">
      <c r="A11" s="3" t="s">
        <v>117</v>
      </c>
      <c r="B11" s="3" t="s">
        <v>152</v>
      </c>
      <c r="C11" s="3" t="str">
        <f>AVERAGEIFS(Raw_Run_Data!$G:$G,Raw_Run_Data!$A:$A,$A11,Raw_Run_Data!$B:$B,$B11)</f>
        <v>21</v>
      </c>
      <c r="D11" s="3" t="str">
        <f>IFERROR(__xludf.DUMMYFUNCTION("STDEV.S(FILTER(Raw_Run_Data!$G:$G,(Raw_Run_Data!$A:$A=$A11)*(Raw_Run_Data!$B:$B=$B11)))"),1.400000000000003)</f>
        <v>1.4</v>
      </c>
      <c r="E11" s="3" t="str">
        <f>AVERAGEIFS(Raw_Run_Data!$H:$H,Raw_Run_Data!$A:$A,$A11,Raw_Run_Data!$B:$B,$B11)</f>
        <v>3.6</v>
      </c>
      <c r="F11" s="3" t="str">
        <f>IFERROR(__xludf.DUMMYFUNCTION("STDEV.S(FILTER(Raw_Run_Data!$H:$H,(Raw_Run_Data!$A:$A=$A11)*(Raw_Run_Data!$B:$B=$B11)))"),0.4)</f>
        <v>0.4</v>
      </c>
      <c r="G11" s="3" t="str">
        <f>AVERAGEIFS(Raw_Run_Data!$I:$I,Raw_Run_Data!$A:$A,$A11,Raw_Run_Data!$B:$B,$B11)</f>
        <v>97.9</v>
      </c>
      <c r="H11" s="3" t="str">
        <f>IFERROR(__xludf.DUMMYFUNCTION("STDEV.S(FILTER(Raw_Run_Data!$I:$I,(Raw_Run_Data!$A:$A=$A11)*(Raw_Run_Data!$B:$B=$B11)))"),0.5999999999999984)</f>
        <v>0.6</v>
      </c>
      <c r="I11" s="3" t="str">
        <f>AVERAGEIFS(Raw_Run_Data!$J:$J,Raw_Run_Data!$A:$A,$A11,Raw_Run_Data!$B:$B,$B11)</f>
        <v>250</v>
      </c>
      <c r="J11" s="3" t="str">
        <f>IFERROR(__xludf.DUMMYFUNCTION("STDEV.S(FILTER(Raw_Run_Data!$J:$J,(Raw_Run_Data!$A:$A=$A11)*(Raw_Run_Data!$B:$B=$B11)))"),9.999999999999968)</f>
        <v>10</v>
      </c>
      <c r="K11" s="3" t="str">
        <f>AVERAGEIFS(Raw_Run_Data!$K:$K,Raw_Run_Data!$A:$A,$A11,Raw_Run_Data!$B:$B,$B11)</f>
        <v>21.2</v>
      </c>
      <c r="L11" s="3" t="str">
        <f>IFERROR(__xludf.DUMMYFUNCTION("STDEV.S(FILTER(Raw_Run_Data!$K:$K,(Raw_Run_Data!$A:$A=$A11)*(Raw_Run_Data!$B:$B=$B11)))"),1.2000000000000002)</f>
        <v>1.2</v>
      </c>
    </row>
    <row r="12">
      <c r="A12" s="3" t="s">
        <v>117</v>
      </c>
      <c r="B12" s="3" t="s">
        <v>153</v>
      </c>
      <c r="C12" s="3" t="str">
        <f>AVERAGEIFS(Raw_Run_Data!$G:$G,Raw_Run_Data!$A:$A,$A12,Raw_Run_Data!$B:$B,$B12)</f>
        <v>28.4</v>
      </c>
      <c r="D12" s="3" t="str">
        <f>IFERROR(__xludf.DUMMYFUNCTION("STDEV.S(FILTER(Raw_Run_Data!$G:$G,(Raw_Run_Data!$A:$A=$A12)*(Raw_Run_Data!$B:$B=$B12)))"),2.0000000000000004)</f>
        <v>2</v>
      </c>
      <c r="E12" s="3" t="str">
        <f>AVERAGEIFS(Raw_Run_Data!$H:$H,Raw_Run_Data!$A:$A,$A12,Raw_Run_Data!$B:$B,$B12)</f>
        <v>5</v>
      </c>
      <c r="F12" s="3" t="str">
        <f>IFERROR(__xludf.DUMMYFUNCTION("STDEV.S(FILTER(Raw_Run_Data!$H:$H,(Raw_Run_Data!$A:$A=$A12)*(Raw_Run_Data!$B:$B=$B12)))"),0.6000000000000001)</f>
        <v>0.6</v>
      </c>
      <c r="G12" s="3" t="str">
        <f>AVERAGEIFS(Raw_Run_Data!$I:$I,Raw_Run_Data!$A:$A,$A12,Raw_Run_Data!$B:$B,$B12)</f>
        <v>96.1</v>
      </c>
      <c r="H12" s="3" t="str">
        <f>IFERROR(__xludf.DUMMYFUNCTION("STDEV.S(FILTER(Raw_Run_Data!$I:$I,(Raw_Run_Data!$A:$A=$A12)*(Raw_Run_Data!$B:$B=$B12)))"),0.8999999999999947)</f>
        <v>0.9</v>
      </c>
      <c r="I12" s="3" t="str">
        <f>AVERAGEIFS(Raw_Run_Data!$J:$J,Raw_Run_Data!$A:$A,$A12,Raw_Run_Data!$B:$B,$B12)</f>
        <v>280</v>
      </c>
      <c r="J12" s="3" t="str">
        <f>IFERROR(__xludf.DUMMYFUNCTION("STDEV.S(FILTER(Raw_Run_Data!$J:$J,(Raw_Run_Data!$A:$A=$A12)*(Raw_Run_Data!$B:$B=$B12)))"),10.999999999999977)</f>
        <v>11</v>
      </c>
      <c r="K12" s="3" t="str">
        <f>AVERAGEIFS(Raw_Run_Data!$K:$K,Raw_Run_Data!$A:$A,$A12,Raw_Run_Data!$B:$B,$B12)</f>
        <v>23.2</v>
      </c>
      <c r="L12" s="3" t="str">
        <f>IFERROR(__xludf.DUMMYFUNCTION("STDEV.S(FILTER(Raw_Run_Data!$K:$K,(Raw_Run_Data!$A:$A=$A12)*(Raw_Run_Data!$B:$B=$B12)))"),1.3000000000000003)</f>
        <v>1.3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0"/>
    <col customWidth="1" min="2" max="2" width="25.0"/>
    <col customWidth="1" min="3" max="3" width="20.0"/>
    <col customWidth="1" min="4" max="4" width="14.0"/>
    <col customWidth="1" min="5" max="5" width="12.0"/>
    <col customWidth="1" min="6" max="6" width="16.0"/>
    <col customWidth="1" min="7" max="7" width="15.0"/>
    <col customWidth="1" min="8" max="8" width="50.0"/>
  </cols>
  <sheetData>
    <row r="1">
      <c r="A1" s="5" t="s">
        <v>54</v>
      </c>
      <c r="B1" s="5" t="s">
        <v>133</v>
      </c>
      <c r="C1" s="5" t="s">
        <v>174</v>
      </c>
      <c r="D1" s="5" t="s">
        <v>175</v>
      </c>
      <c r="E1" s="5" t="s">
        <v>176</v>
      </c>
      <c r="F1" s="5" t="s">
        <v>177</v>
      </c>
      <c r="G1" s="5" t="s">
        <v>178</v>
      </c>
      <c r="H1" s="5" t="s">
        <v>179</v>
      </c>
    </row>
    <row r="2">
      <c r="A2" s="3" t="s">
        <v>60</v>
      </c>
      <c r="B2" s="3" t="s">
        <v>143</v>
      </c>
      <c r="C2" s="3" t="s">
        <v>138</v>
      </c>
      <c r="D2" s="3" t="str">
        <f>Reported_Aggregates!B2</f>
        <v>Real-Time Control</v>
      </c>
      <c r="E2" s="3" t="str">
        <f>Reported_Aggregates!C2</f>
        <v>18.6</v>
      </c>
      <c r="F2" s="3" t="str">
        <f>Calculated_Summary!C2</f>
        <v>18.6</v>
      </c>
      <c r="G2" s="3" t="str">
        <f>Calculated_Summary!D2</f>
        <v>1.4</v>
      </c>
    </row>
    <row r="3">
      <c r="A3" s="3" t="s">
        <v>60</v>
      </c>
      <c r="B3" s="3" t="s">
        <v>143</v>
      </c>
      <c r="C3" s="3" t="s">
        <v>139</v>
      </c>
      <c r="D3" s="3" t="str">
        <f>Reported_Aggregates!D2</f>
        <v>1.4</v>
      </c>
      <c r="E3" s="3" t="str">
        <f>Reported_Aggregates!E2</f>
        <v>3.7</v>
      </c>
      <c r="F3" s="3" t="str">
        <f>Calculated_Summary!E2</f>
        <v>3.7</v>
      </c>
      <c r="G3" s="3" t="str">
        <f>Calculated_Summary!F2</f>
        <v>0.4</v>
      </c>
    </row>
    <row r="4">
      <c r="A4" s="3" t="s">
        <v>60</v>
      </c>
      <c r="B4" s="3" t="s">
        <v>143</v>
      </c>
      <c r="C4" s="3" t="s">
        <v>140</v>
      </c>
      <c r="D4" s="3" t="str">
        <f>Reported_Aggregates!F2</f>
        <v>0.4</v>
      </c>
      <c r="E4" s="3" t="str">
        <f>Reported_Aggregates!G2</f>
        <v>98.2</v>
      </c>
      <c r="F4" s="3" t="str">
        <f>Calculated_Summary!G2</f>
        <v>98.2</v>
      </c>
      <c r="G4" s="3" t="str">
        <f>Calculated_Summary!H2</f>
        <v>0.6</v>
      </c>
    </row>
    <row r="5">
      <c r="A5" s="3" t="s">
        <v>60</v>
      </c>
      <c r="B5" s="3" t="s">
        <v>143</v>
      </c>
      <c r="C5" s="3" t="s">
        <v>141</v>
      </c>
      <c r="D5" s="3" t="str">
        <f>Reported_Aggregates!H2</f>
        <v>0.6</v>
      </c>
      <c r="E5" s="3" t="str">
        <f>Reported_Aggregates!I2</f>
        <v>270</v>
      </c>
      <c r="F5" s="3" t="str">
        <f>Calculated_Summary!I2</f>
        <v>270</v>
      </c>
      <c r="G5" s="3" t="str">
        <f>Calculated_Summary!J2</f>
        <v>9</v>
      </c>
    </row>
    <row r="6">
      <c r="A6" s="3" t="s">
        <v>60</v>
      </c>
      <c r="B6" s="3" t="s">
        <v>143</v>
      </c>
      <c r="C6" s="3" t="s">
        <v>142</v>
      </c>
      <c r="D6" s="3" t="str">
        <f>Reported_Aggregates!J2</f>
        <v>9</v>
      </c>
      <c r="E6" s="3" t="str">
        <f>Reported_Aggregates!K2</f>
        <v>22</v>
      </c>
      <c r="F6" s="3" t="str">
        <f>Calculated_Summary!K2</f>
        <v>22</v>
      </c>
      <c r="G6" s="3" t="str">
        <f>Calculated_Summary!L2</f>
        <v>1.3</v>
      </c>
    </row>
    <row r="7">
      <c r="A7" s="3" t="s">
        <v>60</v>
      </c>
      <c r="B7" s="3" t="s">
        <v>144</v>
      </c>
      <c r="C7" s="3" t="s">
        <v>138</v>
      </c>
      <c r="D7" s="3" t="str">
        <f>Reported_Aggregates!B3</f>
        <v>Supervisory Data</v>
      </c>
      <c r="E7" s="3" t="str">
        <f>Reported_Aggregates!C3</f>
        <v>41.8</v>
      </c>
      <c r="F7" s="3" t="str">
        <f>Calculated_Summary!C3</f>
        <v>41.8</v>
      </c>
      <c r="G7" s="3" t="str">
        <f>Calculated_Summary!D3</f>
        <v>2.3</v>
      </c>
    </row>
    <row r="8">
      <c r="A8" s="3" t="s">
        <v>60</v>
      </c>
      <c r="B8" s="3" t="s">
        <v>144</v>
      </c>
      <c r="C8" s="3" t="s">
        <v>139</v>
      </c>
      <c r="D8" s="3" t="str">
        <f>Reported_Aggregates!D3</f>
        <v>2.3</v>
      </c>
      <c r="E8" s="3" t="str">
        <f>Reported_Aggregates!E3</f>
        <v>5.2</v>
      </c>
      <c r="F8" s="3" t="str">
        <f>Calculated_Summary!E3</f>
        <v>5.2</v>
      </c>
      <c r="G8" s="3" t="str">
        <f>Calculated_Summary!F3</f>
        <v>0.6</v>
      </c>
    </row>
    <row r="9">
      <c r="A9" s="3" t="s">
        <v>60</v>
      </c>
      <c r="B9" s="3" t="s">
        <v>144</v>
      </c>
      <c r="C9" s="3" t="s">
        <v>140</v>
      </c>
      <c r="D9" s="3" t="str">
        <f>Reported_Aggregates!F3</f>
        <v>0.6</v>
      </c>
      <c r="E9" s="3" t="str">
        <f>Reported_Aggregates!G3</f>
        <v>99.4</v>
      </c>
      <c r="F9" s="3" t="str">
        <f>Calculated_Summary!G3</f>
        <v>99.4</v>
      </c>
      <c r="G9" s="3" t="str">
        <f>Calculated_Summary!H3</f>
        <v>0.3</v>
      </c>
    </row>
    <row r="10">
      <c r="A10" s="3" t="s">
        <v>60</v>
      </c>
      <c r="B10" s="3" t="s">
        <v>144</v>
      </c>
      <c r="C10" s="3" t="s">
        <v>141</v>
      </c>
      <c r="D10" s="3" t="str">
        <f>Reported_Aggregates!H3</f>
        <v>0.3</v>
      </c>
      <c r="E10" s="3" t="str">
        <f>Reported_Aggregates!I3</f>
        <v>380</v>
      </c>
      <c r="F10" s="3" t="str">
        <f>Calculated_Summary!I3</f>
        <v>380</v>
      </c>
      <c r="G10" s="3" t="str">
        <f>Calculated_Summary!J3</f>
        <v>12</v>
      </c>
    </row>
    <row r="11">
      <c r="A11" s="3" t="s">
        <v>60</v>
      </c>
      <c r="B11" s="3" t="s">
        <v>144</v>
      </c>
      <c r="C11" s="3" t="s">
        <v>142</v>
      </c>
      <c r="D11" s="3" t="str">
        <f>Reported_Aggregates!J3</f>
        <v>12</v>
      </c>
      <c r="E11" s="3" t="str">
        <f>Reported_Aggregates!K3</f>
        <v>20</v>
      </c>
      <c r="F11" s="3" t="str">
        <f>Calculated_Summary!K3</f>
        <v>20</v>
      </c>
      <c r="G11" s="3" t="str">
        <f>Calculated_Summary!L3</f>
        <v>1.1</v>
      </c>
    </row>
    <row r="12">
      <c r="A12" s="3" t="s">
        <v>86</v>
      </c>
      <c r="B12" s="3" t="s">
        <v>145</v>
      </c>
      <c r="C12" s="3" t="s">
        <v>138</v>
      </c>
      <c r="D12" s="3" t="str">
        <f>Reported_Aggregates!B4</f>
        <v>Control Traffic</v>
      </c>
      <c r="E12" s="3" t="str">
        <f>Reported_Aggregates!C4</f>
        <v>22.4</v>
      </c>
      <c r="F12" s="3" t="str">
        <f>Calculated_Summary!C4</f>
        <v>22.4</v>
      </c>
      <c r="G12" s="3" t="str">
        <f>Calculated_Summary!D4</f>
        <v>1.5</v>
      </c>
    </row>
    <row r="13">
      <c r="A13" s="3" t="s">
        <v>86</v>
      </c>
      <c r="B13" s="3" t="s">
        <v>145</v>
      </c>
      <c r="C13" s="3" t="s">
        <v>139</v>
      </c>
      <c r="D13" s="3" t="str">
        <f>Reported_Aggregates!D4</f>
        <v>1.5</v>
      </c>
      <c r="E13" s="3" t="str">
        <f>Reported_Aggregates!E4</f>
        <v>4.8</v>
      </c>
      <c r="F13" s="3" t="str">
        <f>Calculated_Summary!E4</f>
        <v>4.8</v>
      </c>
      <c r="G13" s="3" t="str">
        <f>Calculated_Summary!F4</f>
        <v>0.5</v>
      </c>
    </row>
    <row r="14">
      <c r="A14" s="3" t="s">
        <v>86</v>
      </c>
      <c r="B14" s="3" t="s">
        <v>145</v>
      </c>
      <c r="C14" s="3" t="s">
        <v>140</v>
      </c>
      <c r="D14" s="3" t="str">
        <f>Reported_Aggregates!F4</f>
        <v>0.5</v>
      </c>
      <c r="E14" s="3" t="str">
        <f>Reported_Aggregates!G4</f>
        <v>98.6</v>
      </c>
      <c r="F14" s="3" t="str">
        <f>Calculated_Summary!G4</f>
        <v>98.6</v>
      </c>
      <c r="G14" s="3" t="str">
        <f>Calculated_Summary!H4</f>
        <v>0.5</v>
      </c>
    </row>
    <row r="15">
      <c r="A15" s="3" t="s">
        <v>86</v>
      </c>
      <c r="B15" s="3" t="s">
        <v>145</v>
      </c>
      <c r="C15" s="3" t="s">
        <v>141</v>
      </c>
      <c r="D15" s="3" t="str">
        <f>Reported_Aggregates!H4</f>
        <v>0.5</v>
      </c>
      <c r="E15" s="3" t="str">
        <f>Reported_Aggregates!I4</f>
        <v>240</v>
      </c>
      <c r="F15" s="3" t="str">
        <f>Calculated_Summary!I4</f>
        <v>240</v>
      </c>
      <c r="G15" s="3" t="str">
        <f>Calculated_Summary!J4</f>
        <v>8</v>
      </c>
    </row>
    <row r="16">
      <c r="A16" s="3" t="s">
        <v>86</v>
      </c>
      <c r="B16" s="3" t="s">
        <v>145</v>
      </c>
      <c r="C16" s="3" t="s">
        <v>142</v>
      </c>
      <c r="D16" s="3" t="str">
        <f>Reported_Aggregates!J4</f>
        <v>8</v>
      </c>
      <c r="E16" s="3" t="str">
        <f>Reported_Aggregates!K4</f>
        <v>24</v>
      </c>
      <c r="F16" s="3" t="str">
        <f>Calculated_Summary!K4</f>
        <v>24</v>
      </c>
      <c r="G16" s="3" t="str">
        <f>Calculated_Summary!L4</f>
        <v>1.5</v>
      </c>
    </row>
    <row r="17">
      <c r="A17" s="3" t="s">
        <v>86</v>
      </c>
      <c r="B17" s="3" t="s">
        <v>146</v>
      </c>
      <c r="C17" s="3" t="s">
        <v>138</v>
      </c>
      <c r="D17" s="3" t="str">
        <f>Reported_Aggregates!B5</f>
        <v>Sensor Data</v>
      </c>
      <c r="E17" s="3" t="str">
        <f>Reported_Aggregates!C5</f>
        <v>38.9</v>
      </c>
      <c r="F17" s="3" t="str">
        <f>Calculated_Summary!C5</f>
        <v>38.9</v>
      </c>
      <c r="G17" s="3" t="str">
        <f>Calculated_Summary!D5</f>
        <v>2.1</v>
      </c>
    </row>
    <row r="18">
      <c r="A18" s="3" t="s">
        <v>86</v>
      </c>
      <c r="B18" s="3" t="s">
        <v>146</v>
      </c>
      <c r="C18" s="3" t="s">
        <v>139</v>
      </c>
      <c r="D18" s="3" t="str">
        <f>Reported_Aggregates!D5</f>
        <v>2.1</v>
      </c>
      <c r="E18" s="3" t="str">
        <f>Reported_Aggregates!E5</f>
        <v>6.3</v>
      </c>
      <c r="F18" s="3" t="str">
        <f>Calculated_Summary!E5</f>
        <v>6.3</v>
      </c>
      <c r="G18" s="3" t="str">
        <f>Calculated_Summary!F5</f>
        <v>0.8</v>
      </c>
    </row>
    <row r="19">
      <c r="A19" s="3" t="s">
        <v>86</v>
      </c>
      <c r="B19" s="3" t="s">
        <v>146</v>
      </c>
      <c r="C19" s="3" t="s">
        <v>140</v>
      </c>
      <c r="D19" s="3" t="str">
        <f>Reported_Aggregates!F5</f>
        <v>0.8</v>
      </c>
      <c r="E19" s="3" t="str">
        <f>Reported_Aggregates!G5</f>
        <v>99.1</v>
      </c>
      <c r="F19" s="3" t="str">
        <f>Calculated_Summary!G5</f>
        <v>99.1</v>
      </c>
      <c r="G19" s="3" t="str">
        <f>Calculated_Summary!H5</f>
        <v>0.4</v>
      </c>
    </row>
    <row r="20">
      <c r="A20" s="3" t="s">
        <v>86</v>
      </c>
      <c r="B20" s="3" t="s">
        <v>146</v>
      </c>
      <c r="C20" s="3" t="s">
        <v>141</v>
      </c>
      <c r="D20" s="3" t="str">
        <f>Reported_Aggregates!H5</f>
        <v>0.4</v>
      </c>
      <c r="E20" s="3" t="str">
        <f>Reported_Aggregates!I5</f>
        <v>420</v>
      </c>
      <c r="F20" s="3" t="str">
        <f>Calculated_Summary!I5</f>
        <v>420</v>
      </c>
      <c r="G20" s="3" t="str">
        <f>Calculated_Summary!J5</f>
        <v>15</v>
      </c>
    </row>
    <row r="21" ht="15.75" customHeight="1">
      <c r="A21" s="3" t="s">
        <v>86</v>
      </c>
      <c r="B21" s="3" t="s">
        <v>146</v>
      </c>
      <c r="C21" s="3" t="s">
        <v>142</v>
      </c>
      <c r="D21" s="3" t="str">
        <f>Reported_Aggregates!J5</f>
        <v>15</v>
      </c>
      <c r="E21" s="3" t="str">
        <f>Reported_Aggregates!K5</f>
        <v>23</v>
      </c>
      <c r="F21" s="3" t="str">
        <f>Calculated_Summary!K5</f>
        <v>23</v>
      </c>
      <c r="G21" s="3" t="str">
        <f>Calculated_Summary!L5</f>
        <v>1.2</v>
      </c>
    </row>
    <row r="22" ht="15.75" customHeight="1">
      <c r="A22" s="3" t="s">
        <v>86</v>
      </c>
      <c r="B22" s="3" t="s">
        <v>147</v>
      </c>
      <c r="C22" s="3" t="s">
        <v>138</v>
      </c>
      <c r="D22" s="3" t="str">
        <f>Reported_Aggregates!B6</f>
        <v>Maintenance Upload</v>
      </c>
      <c r="E22" s="3" t="str">
        <f>Reported_Aggregates!C6</f>
        <v>76.2</v>
      </c>
      <c r="F22" s="3" t="str">
        <f>Calculated_Summary!C6</f>
        <v>76.2</v>
      </c>
      <c r="G22" s="3" t="str">
        <f>Calculated_Summary!D6</f>
        <v>4.8</v>
      </c>
    </row>
    <row r="23" ht="15.75" customHeight="1">
      <c r="A23" s="3" t="s">
        <v>86</v>
      </c>
      <c r="B23" s="3" t="s">
        <v>147</v>
      </c>
      <c r="C23" s="3" t="s">
        <v>139</v>
      </c>
      <c r="D23" s="3" t="str">
        <f>Reported_Aggregates!D6</f>
        <v>4.8</v>
      </c>
      <c r="E23" s="3" t="str">
        <f>Reported_Aggregates!E6</f>
        <v>12.1</v>
      </c>
      <c r="F23" s="3" t="str">
        <f>Calculated_Summary!E6</f>
        <v>12.1</v>
      </c>
      <c r="G23" s="3" t="str">
        <f>Calculated_Summary!F6</f>
        <v>1</v>
      </c>
    </row>
    <row r="24" ht="15.75" customHeight="1">
      <c r="A24" s="3" t="s">
        <v>86</v>
      </c>
      <c r="B24" s="3" t="s">
        <v>147</v>
      </c>
      <c r="C24" s="3" t="s">
        <v>140</v>
      </c>
      <c r="D24" s="3" t="str">
        <f>Reported_Aggregates!F6</f>
        <v>1</v>
      </c>
      <c r="E24" s="3" t="str">
        <f>Reported_Aggregates!G6</f>
        <v>99.5</v>
      </c>
      <c r="F24" s="3" t="str">
        <f>Calculated_Summary!G6</f>
        <v>99.5</v>
      </c>
      <c r="G24" s="3" t="str">
        <f>Calculated_Summary!H6</f>
        <v>0.2</v>
      </c>
    </row>
    <row r="25" ht="15.75" customHeight="1">
      <c r="A25" s="3" t="s">
        <v>86</v>
      </c>
      <c r="B25" s="3" t="s">
        <v>147</v>
      </c>
      <c r="C25" s="3" t="s">
        <v>141</v>
      </c>
      <c r="D25" s="3" t="str">
        <f>Reported_Aggregates!H6</f>
        <v>0.2</v>
      </c>
      <c r="E25" s="3" t="str">
        <f>Reported_Aggregates!I6</f>
        <v>800</v>
      </c>
      <c r="F25" s="3" t="str">
        <f>Calculated_Summary!I6</f>
        <v>800</v>
      </c>
      <c r="G25" s="3" t="str">
        <f>Calculated_Summary!J6</f>
        <v>18</v>
      </c>
    </row>
    <row r="26" ht="15.75" customHeight="1">
      <c r="A26" s="3" t="s">
        <v>86</v>
      </c>
      <c r="B26" s="3" t="s">
        <v>147</v>
      </c>
      <c r="C26" s="3" t="s">
        <v>142</v>
      </c>
      <c r="D26" s="3" t="str">
        <f>Reported_Aggregates!J6</f>
        <v>18</v>
      </c>
      <c r="E26" s="3" t="str">
        <f>Reported_Aggregates!K6</f>
        <v>25</v>
      </c>
      <c r="F26" s="3" t="str">
        <f>Calculated_Summary!K6</f>
        <v>25</v>
      </c>
      <c r="G26" s="3" t="str">
        <f>Calculated_Summary!L6</f>
        <v>1.4</v>
      </c>
    </row>
    <row r="27" ht="15.75" customHeight="1">
      <c r="A27" s="3" t="s">
        <v>101</v>
      </c>
      <c r="B27" s="3" t="s">
        <v>148</v>
      </c>
      <c r="C27" s="3" t="s">
        <v>138</v>
      </c>
      <c r="D27" s="3" t="str">
        <f>Reported_Aggregates!B7</f>
        <v>ECG Stream</v>
      </c>
      <c r="E27" s="3" t="str">
        <f>Reported_Aggregates!C7</f>
        <v>19.7</v>
      </c>
      <c r="F27" s="3" t="str">
        <f>Calculated_Summary!C7</f>
        <v>19.7</v>
      </c>
      <c r="G27" s="3" t="str">
        <f>Calculated_Summary!D7</f>
        <v>1.2</v>
      </c>
    </row>
    <row r="28" ht="15.75" customHeight="1">
      <c r="A28" s="3" t="s">
        <v>101</v>
      </c>
      <c r="B28" s="3" t="s">
        <v>148</v>
      </c>
      <c r="C28" s="3" t="s">
        <v>139</v>
      </c>
      <c r="D28" s="3" t="str">
        <f>Reported_Aggregates!D7</f>
        <v>1.2</v>
      </c>
      <c r="E28" s="3" t="str">
        <f>Reported_Aggregates!E7</f>
        <v>3.2</v>
      </c>
      <c r="F28" s="3" t="str">
        <f>Calculated_Summary!E7</f>
        <v>3.2</v>
      </c>
      <c r="G28" s="3" t="str">
        <f>Calculated_Summary!F7</f>
        <v>0.3</v>
      </c>
    </row>
    <row r="29" ht="15.75" customHeight="1">
      <c r="A29" s="3" t="s">
        <v>101</v>
      </c>
      <c r="B29" s="3" t="s">
        <v>148</v>
      </c>
      <c r="C29" s="3" t="s">
        <v>140</v>
      </c>
      <c r="D29" s="3" t="str">
        <f>Reported_Aggregates!F7</f>
        <v>0.3</v>
      </c>
      <c r="E29" s="3" t="str">
        <f>Reported_Aggregates!G7</f>
        <v>97.8</v>
      </c>
      <c r="F29" s="3" t="str">
        <f>Calculated_Summary!G7</f>
        <v>97.8</v>
      </c>
      <c r="G29" s="3" t="str">
        <f>Calculated_Summary!H7</f>
        <v>0.8</v>
      </c>
    </row>
    <row r="30" ht="15.75" customHeight="1">
      <c r="A30" s="3" t="s">
        <v>101</v>
      </c>
      <c r="B30" s="3" t="s">
        <v>148</v>
      </c>
      <c r="C30" s="3" t="s">
        <v>141</v>
      </c>
      <c r="D30" s="3" t="str">
        <f>Reported_Aggregates!H7</f>
        <v>0.8</v>
      </c>
      <c r="E30" s="3" t="str">
        <f>Reported_Aggregates!I7</f>
        <v>260</v>
      </c>
      <c r="F30" s="3" t="str">
        <f>Calculated_Summary!I7</f>
        <v>260</v>
      </c>
      <c r="G30" s="3" t="str">
        <f>Calculated_Summary!J7</f>
        <v>10</v>
      </c>
      <c r="H30" s="3"/>
    </row>
    <row r="31" ht="15.75" customHeight="1">
      <c r="A31" s="3" t="s">
        <v>101</v>
      </c>
      <c r="B31" s="3" t="s">
        <v>148</v>
      </c>
      <c r="C31" s="3" t="s">
        <v>142</v>
      </c>
      <c r="D31" s="3" t="str">
        <f>Reported_Aggregates!J7</f>
        <v>10</v>
      </c>
      <c r="E31" s="3" t="str">
        <f>Reported_Aggregates!K7</f>
        <v>28</v>
      </c>
      <c r="F31" s="3" t="str">
        <f>Calculated_Summary!K7</f>
        <v>28</v>
      </c>
      <c r="G31" s="3" t="str">
        <f>Calculated_Summary!L7</f>
        <v>1.6</v>
      </c>
      <c r="H31" s="3"/>
    </row>
    <row r="32" ht="15.75" customHeight="1">
      <c r="A32" s="3" t="s">
        <v>101</v>
      </c>
      <c r="B32" s="3" t="s">
        <v>149</v>
      </c>
      <c r="C32" s="3" t="s">
        <v>138</v>
      </c>
      <c r="D32" s="3" t="str">
        <f>Reported_Aggregates!B8</f>
        <v>Vital Signs</v>
      </c>
      <c r="E32" s="3" t="str">
        <f>Reported_Aggregates!C8</f>
        <v>33.2</v>
      </c>
      <c r="F32" s="3" t="str">
        <f>Calculated_Summary!C8</f>
        <v>33.2</v>
      </c>
      <c r="G32" s="3" t="str">
        <f>Calculated_Summary!D8</f>
        <v>1.9</v>
      </c>
      <c r="H32" s="3"/>
    </row>
    <row r="33" ht="15.75" customHeight="1">
      <c r="A33" s="3" t="s">
        <v>101</v>
      </c>
      <c r="B33" s="3" t="s">
        <v>149</v>
      </c>
      <c r="C33" s="3" t="s">
        <v>139</v>
      </c>
      <c r="D33" s="3" t="str">
        <f>Reported_Aggregates!D8</f>
        <v>1.9</v>
      </c>
      <c r="E33" s="3" t="str">
        <f>Reported_Aggregates!E8</f>
        <v>5.5</v>
      </c>
      <c r="F33" s="3" t="str">
        <f>Calculated_Summary!E8</f>
        <v>5.5</v>
      </c>
      <c r="G33" s="3" t="str">
        <f>Calculated_Summary!F8</f>
        <v>0.7</v>
      </c>
      <c r="H33" s="3"/>
    </row>
    <row r="34" ht="15.75" customHeight="1">
      <c r="A34" s="3" t="s">
        <v>101</v>
      </c>
      <c r="B34" s="3" t="s">
        <v>149</v>
      </c>
      <c r="C34" s="3" t="s">
        <v>140</v>
      </c>
      <c r="D34" s="3" t="str">
        <f>Reported_Aggregates!F8</f>
        <v>0.7</v>
      </c>
      <c r="E34" s="3" t="str">
        <f>Reported_Aggregates!G8</f>
        <v>99</v>
      </c>
      <c r="F34" s="3" t="str">
        <f>Calculated_Summary!G8</f>
        <v>99</v>
      </c>
      <c r="G34" s="3" t="str">
        <f>Calculated_Summary!H8</f>
        <v>0.4</v>
      </c>
      <c r="H34" s="3"/>
    </row>
    <row r="35" ht="15.75" customHeight="1">
      <c r="A35" s="3" t="s">
        <v>101</v>
      </c>
      <c r="B35" s="3" t="s">
        <v>149</v>
      </c>
      <c r="C35" s="3" t="s">
        <v>141</v>
      </c>
      <c r="D35" s="3" t="str">
        <f>Reported_Aggregates!H8</f>
        <v>0.4</v>
      </c>
      <c r="E35" s="3" t="str">
        <f>Reported_Aggregates!I8</f>
        <v>330</v>
      </c>
      <c r="F35" s="3" t="str">
        <f>Calculated_Summary!I8</f>
        <v>330</v>
      </c>
      <c r="G35" s="3" t="str">
        <f>Calculated_Summary!J8</f>
        <v>11</v>
      </c>
      <c r="H35" s="3"/>
    </row>
    <row r="36" ht="15.75" customHeight="1">
      <c r="A36" s="3" t="s">
        <v>101</v>
      </c>
      <c r="B36" s="3" t="s">
        <v>149</v>
      </c>
      <c r="C36" s="3" t="s">
        <v>142</v>
      </c>
      <c r="D36" s="3" t="str">
        <f>Reported_Aggregates!J8</f>
        <v>11</v>
      </c>
      <c r="E36" s="3" t="str">
        <f>Reported_Aggregates!K8</f>
        <v>19.4</v>
      </c>
      <c r="F36" s="3" t="str">
        <f>Calculated_Summary!K8</f>
        <v>19.4</v>
      </c>
      <c r="G36" s="3" t="str">
        <f>Calculated_Summary!L8</f>
        <v>1.1</v>
      </c>
      <c r="H36" s="3"/>
    </row>
    <row r="37" ht="15.75" customHeight="1">
      <c r="A37" s="3" t="s">
        <v>101</v>
      </c>
      <c r="B37" s="3" t="s">
        <v>150</v>
      </c>
      <c r="C37" s="3" t="s">
        <v>138</v>
      </c>
      <c r="D37" s="3" t="str">
        <f>Reported_Aggregates!B9</f>
        <v>Link Disruption</v>
      </c>
      <c r="E37" s="3" t="str">
        <f>Reported_Aggregates!C9</f>
        <v>41.5</v>
      </c>
      <c r="F37" s="3" t="str">
        <f>Calculated_Summary!C9</f>
        <v>41.5</v>
      </c>
      <c r="G37" s="3" t="str">
        <f>Calculated_Summary!D9</f>
        <v>2.8</v>
      </c>
      <c r="H37" s="3"/>
    </row>
    <row r="38" ht="15.75" customHeight="1">
      <c r="A38" s="3" t="s">
        <v>101</v>
      </c>
      <c r="B38" s="3" t="s">
        <v>150</v>
      </c>
      <c r="C38" s="3" t="s">
        <v>139</v>
      </c>
      <c r="D38" s="3" t="str">
        <f>Reported_Aggregates!D9</f>
        <v>2.8</v>
      </c>
      <c r="E38" s="3" t="str">
        <f>Reported_Aggregates!E9</f>
        <v>6.1</v>
      </c>
      <c r="F38" s="3" t="str">
        <f>Calculated_Summary!E9</f>
        <v>6.1</v>
      </c>
      <c r="G38" s="3" t="str">
        <f>Calculated_Summary!F9</f>
        <v>0.9</v>
      </c>
      <c r="H38" s="3"/>
    </row>
    <row r="39" ht="15.75" customHeight="1">
      <c r="A39" s="3" t="s">
        <v>101</v>
      </c>
      <c r="B39" s="3" t="s">
        <v>150</v>
      </c>
      <c r="C39" s="3" t="s">
        <v>140</v>
      </c>
      <c r="D39" s="3" t="str">
        <f>Reported_Aggregates!F9</f>
        <v>0.9</v>
      </c>
      <c r="E39" s="3" t="str">
        <f>Reported_Aggregates!G9</f>
        <v>95.4</v>
      </c>
      <c r="F39" s="3" t="str">
        <f>Calculated_Summary!G9</f>
        <v>95.4</v>
      </c>
      <c r="G39" s="3" t="str">
        <f>Calculated_Summary!H9</f>
        <v>1.2</v>
      </c>
      <c r="H39" s="3"/>
    </row>
    <row r="40" ht="15.75" customHeight="1">
      <c r="A40" s="3" t="s">
        <v>101</v>
      </c>
      <c r="B40" s="3" t="s">
        <v>150</v>
      </c>
      <c r="C40" s="3" t="s">
        <v>141</v>
      </c>
      <c r="D40" s="3" t="str">
        <f>Reported_Aggregates!H9</f>
        <v>1.2</v>
      </c>
      <c r="E40" s="3" t="str">
        <f>Reported_Aggregates!I9</f>
        <v>310</v>
      </c>
      <c r="F40" s="3" t="str">
        <f>Calculated_Summary!I9</f>
        <v>310</v>
      </c>
      <c r="G40" s="3" t="str">
        <f>Calculated_Summary!J9</f>
        <v>13</v>
      </c>
      <c r="H40" s="3"/>
    </row>
    <row r="41" ht="15.75" customHeight="1">
      <c r="A41" s="3" t="s">
        <v>101</v>
      </c>
      <c r="B41" s="3" t="s">
        <v>150</v>
      </c>
      <c r="C41" s="3" t="s">
        <v>142</v>
      </c>
      <c r="D41" s="3" t="str">
        <f>Reported_Aggregates!J9</f>
        <v>13</v>
      </c>
      <c r="E41" s="3" t="str">
        <f>Reported_Aggregates!K9</f>
        <v>22.1</v>
      </c>
      <c r="F41" s="3" t="str">
        <f>Calculated_Summary!K9</f>
        <v>22.1</v>
      </c>
      <c r="G41" s="3" t="str">
        <f>Calculated_Summary!L9</f>
        <v>1.4</v>
      </c>
      <c r="H41" s="3"/>
    </row>
    <row r="42" ht="15.75" customHeight="1">
      <c r="A42" s="3" t="s">
        <v>117</v>
      </c>
      <c r="B42" s="3" t="s">
        <v>151</v>
      </c>
      <c r="C42" s="3" t="s">
        <v>138</v>
      </c>
      <c r="D42" s="3" t="str">
        <f>Reported_Aggregates!B10</f>
        <v>CAM</v>
      </c>
      <c r="E42" s="3" t="str">
        <f>Reported_Aggregates!C10</f>
        <v>17.5</v>
      </c>
      <c r="F42" s="3" t="str">
        <f>Calculated_Summary!C10</f>
        <v>17.5</v>
      </c>
      <c r="G42" s="3" t="str">
        <f>Calculated_Summary!D10</f>
        <v>1.1</v>
      </c>
      <c r="H42" s="3"/>
    </row>
    <row r="43" ht="15.75" customHeight="1">
      <c r="A43" s="3" t="s">
        <v>117</v>
      </c>
      <c r="B43" s="3" t="s">
        <v>151</v>
      </c>
      <c r="C43" s="3" t="s">
        <v>139</v>
      </c>
      <c r="D43" s="3" t="str">
        <f>Reported_Aggregates!D10</f>
        <v>1.1</v>
      </c>
      <c r="E43" s="3" t="str">
        <f>Reported_Aggregates!E10</f>
        <v>2.9</v>
      </c>
      <c r="F43" s="3" t="str">
        <f>Calculated_Summary!E10</f>
        <v>2.9</v>
      </c>
      <c r="G43" s="3" t="str">
        <f>Calculated_Summary!F10</f>
        <v>0.3</v>
      </c>
      <c r="H43" s="3"/>
    </row>
    <row r="44" ht="15.75" customHeight="1">
      <c r="A44" s="3" t="s">
        <v>117</v>
      </c>
      <c r="B44" s="3" t="s">
        <v>151</v>
      </c>
      <c r="C44" s="3" t="s">
        <v>140</v>
      </c>
      <c r="D44" s="3" t="str">
        <f>Reported_Aggregates!F10</f>
        <v>0.3</v>
      </c>
      <c r="E44" s="3" t="str">
        <f>Reported_Aggregates!G10</f>
        <v>98.5</v>
      </c>
      <c r="F44" s="3" t="str">
        <f>Calculated_Summary!G10</f>
        <v>98.5</v>
      </c>
      <c r="G44" s="3" t="str">
        <f>Calculated_Summary!H10</f>
        <v>0.5</v>
      </c>
      <c r="H44" s="3"/>
    </row>
    <row r="45" ht="15.75" customHeight="1">
      <c r="A45" s="3" t="s">
        <v>117</v>
      </c>
      <c r="B45" s="3" t="s">
        <v>151</v>
      </c>
      <c r="C45" s="3" t="s">
        <v>141</v>
      </c>
      <c r="D45" s="3" t="str">
        <f>Reported_Aggregates!H10</f>
        <v>0.5</v>
      </c>
      <c r="E45" s="3" t="str">
        <f>Reported_Aggregates!I10</f>
        <v>310</v>
      </c>
      <c r="F45" s="3" t="str">
        <f>Calculated_Summary!I10</f>
        <v>310</v>
      </c>
      <c r="G45" s="3" t="str">
        <f>Calculated_Summary!J10</f>
        <v>12</v>
      </c>
      <c r="H45" s="3"/>
    </row>
    <row r="46" ht="15.75" customHeight="1">
      <c r="A46" s="3" t="s">
        <v>117</v>
      </c>
      <c r="B46" s="3" t="s">
        <v>151</v>
      </c>
      <c r="C46" s="3" t="s">
        <v>142</v>
      </c>
      <c r="D46" s="3" t="str">
        <f>Reported_Aggregates!J10</f>
        <v>12</v>
      </c>
      <c r="E46" s="3" t="str">
        <f>Reported_Aggregates!K10</f>
        <v>22</v>
      </c>
      <c r="F46" s="3" t="str">
        <f>Calculated_Summary!K10</f>
        <v>22</v>
      </c>
      <c r="G46" s="3" t="str">
        <f>Calculated_Summary!L10</f>
        <v>1.3</v>
      </c>
      <c r="H46" s="3"/>
    </row>
    <row r="47" ht="15.75" customHeight="1">
      <c r="A47" s="3" t="s">
        <v>117</v>
      </c>
      <c r="B47" s="3" t="s">
        <v>152</v>
      </c>
      <c r="C47" s="3" t="s">
        <v>138</v>
      </c>
      <c r="D47" s="3" t="str">
        <f>Reported_Aggregates!B11</f>
        <v>DENM</v>
      </c>
      <c r="E47" s="3" t="str">
        <f>Reported_Aggregates!C11</f>
        <v>21</v>
      </c>
      <c r="F47" s="3" t="str">
        <f>Calculated_Summary!C11</f>
        <v>21</v>
      </c>
      <c r="G47" s="3" t="str">
        <f>Calculated_Summary!D11</f>
        <v>1.4</v>
      </c>
      <c r="H47" s="3"/>
    </row>
    <row r="48" ht="15.75" customHeight="1">
      <c r="A48" s="3" t="s">
        <v>117</v>
      </c>
      <c r="B48" s="3" t="s">
        <v>152</v>
      </c>
      <c r="C48" s="3" t="s">
        <v>139</v>
      </c>
      <c r="D48" s="3" t="str">
        <f>Reported_Aggregates!D11</f>
        <v>1.4</v>
      </c>
      <c r="E48" s="3" t="str">
        <f>Reported_Aggregates!E11</f>
        <v>3.6</v>
      </c>
      <c r="F48" s="3" t="str">
        <f>Calculated_Summary!E11</f>
        <v>3.6</v>
      </c>
      <c r="G48" s="3" t="str">
        <f>Calculated_Summary!F11</f>
        <v>0.4</v>
      </c>
      <c r="H48" s="3"/>
    </row>
    <row r="49" ht="15.75" customHeight="1">
      <c r="A49" s="3" t="s">
        <v>117</v>
      </c>
      <c r="B49" s="3" t="s">
        <v>152</v>
      </c>
      <c r="C49" s="3" t="s">
        <v>140</v>
      </c>
      <c r="D49" s="3" t="str">
        <f>Reported_Aggregates!F11</f>
        <v>0.4</v>
      </c>
      <c r="E49" s="3" t="str">
        <f>Reported_Aggregates!G11</f>
        <v>97.9</v>
      </c>
      <c r="F49" s="3" t="str">
        <f>Calculated_Summary!G11</f>
        <v>97.9</v>
      </c>
      <c r="G49" s="3" t="str">
        <f>Calculated_Summary!H11</f>
        <v>0.6</v>
      </c>
      <c r="H49" s="3"/>
    </row>
    <row r="50" ht="15.75" customHeight="1">
      <c r="A50" s="3" t="s">
        <v>117</v>
      </c>
      <c r="B50" s="3" t="s">
        <v>152</v>
      </c>
      <c r="C50" s="3" t="s">
        <v>141</v>
      </c>
      <c r="D50" s="3" t="str">
        <f>Reported_Aggregates!H11</f>
        <v>0.6</v>
      </c>
      <c r="E50" s="3" t="str">
        <f>Reported_Aggregates!I11</f>
        <v>250</v>
      </c>
      <c r="F50" s="3" t="str">
        <f>Calculated_Summary!I11</f>
        <v>250</v>
      </c>
      <c r="G50" s="3" t="str">
        <f>Calculated_Summary!J11</f>
        <v>10</v>
      </c>
      <c r="H50" s="3"/>
    </row>
    <row r="51" ht="15.75" customHeight="1">
      <c r="A51" s="3" t="s">
        <v>117</v>
      </c>
      <c r="B51" s="3" t="s">
        <v>152</v>
      </c>
      <c r="C51" s="3" t="s">
        <v>142</v>
      </c>
      <c r="D51" s="3" t="str">
        <f>Reported_Aggregates!J11</f>
        <v>10</v>
      </c>
      <c r="E51" s="3" t="str">
        <f>Reported_Aggregates!K11</f>
        <v>21.2</v>
      </c>
      <c r="F51" s="3" t="str">
        <f>Calculated_Summary!K11</f>
        <v>21.2</v>
      </c>
      <c r="G51" s="3" t="str">
        <f>Calculated_Summary!L11</f>
        <v>1.2</v>
      </c>
      <c r="H51" s="3"/>
    </row>
    <row r="52" ht="15.75" customHeight="1">
      <c r="A52" s="3" t="s">
        <v>117</v>
      </c>
      <c r="B52" s="3" t="s">
        <v>153</v>
      </c>
      <c r="C52" s="3" t="s">
        <v>138</v>
      </c>
      <c r="D52" s="3" t="str">
        <f>Reported_Aggregates!B12</f>
        <v>Topology Change</v>
      </c>
      <c r="E52" s="3" t="str">
        <f>Reported_Aggregates!C12</f>
        <v>28.4</v>
      </c>
      <c r="F52" s="3" t="str">
        <f>Calculated_Summary!C12</f>
        <v>28.4</v>
      </c>
      <c r="G52" s="3" t="str">
        <f>Calculated_Summary!D12</f>
        <v>2</v>
      </c>
      <c r="H52" s="3"/>
    </row>
    <row r="53" ht="15.75" customHeight="1">
      <c r="A53" s="3" t="s">
        <v>117</v>
      </c>
      <c r="B53" s="3" t="s">
        <v>153</v>
      </c>
      <c r="C53" s="3" t="s">
        <v>139</v>
      </c>
      <c r="D53" s="3" t="str">
        <f>Reported_Aggregates!D12</f>
        <v>2</v>
      </c>
      <c r="E53" s="3" t="str">
        <f>Reported_Aggregates!E12</f>
        <v>5</v>
      </c>
      <c r="F53" s="3" t="str">
        <f>Calculated_Summary!E12</f>
        <v>5</v>
      </c>
      <c r="G53" s="3" t="str">
        <f>Calculated_Summary!F12</f>
        <v>0.6</v>
      </c>
      <c r="H53" s="3"/>
    </row>
    <row r="54" ht="15.75" customHeight="1">
      <c r="A54" s="3" t="s">
        <v>117</v>
      </c>
      <c r="B54" s="3" t="s">
        <v>153</v>
      </c>
      <c r="C54" s="3" t="s">
        <v>140</v>
      </c>
      <c r="D54" s="3" t="str">
        <f>Reported_Aggregates!F12</f>
        <v>0.6</v>
      </c>
      <c r="E54" s="3" t="str">
        <f>Reported_Aggregates!G12</f>
        <v>96.1</v>
      </c>
      <c r="F54" s="3" t="str">
        <f>Calculated_Summary!G12</f>
        <v>96.1</v>
      </c>
      <c r="G54" s="3" t="str">
        <f>Calculated_Summary!H12</f>
        <v>0.9</v>
      </c>
      <c r="H54" s="3"/>
    </row>
    <row r="55" ht="15.75" customHeight="1">
      <c r="A55" s="3" t="s">
        <v>117</v>
      </c>
      <c r="B55" s="3" t="s">
        <v>153</v>
      </c>
      <c r="C55" s="3" t="s">
        <v>141</v>
      </c>
      <c r="D55" s="3" t="str">
        <f>Reported_Aggregates!H12</f>
        <v>0.9</v>
      </c>
      <c r="E55" s="3" t="str">
        <f>Reported_Aggregates!I12</f>
        <v>280</v>
      </c>
      <c r="F55" s="3" t="str">
        <f>Calculated_Summary!I12</f>
        <v>280</v>
      </c>
      <c r="G55" s="3" t="str">
        <f>Calculated_Summary!J12</f>
        <v>11</v>
      </c>
      <c r="H55" s="3"/>
    </row>
    <row r="56" ht="15.75" customHeight="1">
      <c r="A56" s="3" t="s">
        <v>117</v>
      </c>
      <c r="B56" s="3" t="s">
        <v>153</v>
      </c>
      <c r="C56" s="3" t="s">
        <v>142</v>
      </c>
      <c r="D56" s="3" t="str">
        <f>Reported_Aggregates!J12</f>
        <v>11</v>
      </c>
      <c r="E56" s="3" t="str">
        <f>Reported_Aggregates!K12</f>
        <v>23.2</v>
      </c>
      <c r="F56" s="3" t="str">
        <f>Calculated_Summary!K12</f>
        <v>23.2</v>
      </c>
      <c r="G56" s="3" t="str">
        <f>Calculated_Summary!L12</f>
        <v>1.3</v>
      </c>
      <c r="H56" s="3"/>
    </row>
    <row r="57" ht="15.75" customHeight="1">
      <c r="H57" s="3"/>
    </row>
    <row r="58" ht="15.75" customHeight="1">
      <c r="H58" s="3"/>
    </row>
    <row r="59" ht="15.75" customHeight="1">
      <c r="H59" s="3"/>
    </row>
    <row r="60" ht="15.75" customHeight="1">
      <c r="H60" s="3"/>
    </row>
    <row r="61" ht="15.75" customHeight="1">
      <c r="H61" s="3"/>
    </row>
    <row r="62" ht="15.75" customHeight="1">
      <c r="H62" s="3"/>
    </row>
    <row r="63" ht="15.75" customHeight="1">
      <c r="H63" s="3"/>
    </row>
    <row r="64" ht="15.75" customHeight="1">
      <c r="H64" s="3"/>
    </row>
    <row r="65" ht="15.75" customHeight="1">
      <c r="H65" s="3"/>
    </row>
    <row r="66" ht="15.75" customHeight="1">
      <c r="H66" s="3"/>
    </row>
    <row r="67" ht="15.75" customHeight="1">
      <c r="H67" s="3"/>
    </row>
    <row r="68" ht="15.75" customHeight="1">
      <c r="H68" s="3"/>
    </row>
    <row r="69" ht="15.75" customHeight="1">
      <c r="H69" s="3"/>
    </row>
    <row r="70" ht="15.75" customHeight="1">
      <c r="H70" s="3"/>
    </row>
    <row r="71" ht="15.75" customHeight="1">
      <c r="H71" s="3"/>
    </row>
    <row r="72" ht="15.75" customHeight="1">
      <c r="H72" s="3"/>
    </row>
    <row r="73" ht="15.75" customHeight="1">
      <c r="H73" s="3"/>
    </row>
    <row r="74" ht="15.75" customHeight="1">
      <c r="H74" s="3"/>
    </row>
    <row r="75" ht="15.75" customHeight="1">
      <c r="H75" s="3"/>
    </row>
    <row r="76" ht="15.75" customHeight="1">
      <c r="H76" s="3"/>
    </row>
    <row r="77" ht="15.75" customHeight="1">
      <c r="H77" s="3"/>
    </row>
    <row r="78" ht="15.75" customHeight="1">
      <c r="H78" s="3"/>
    </row>
    <row r="79" ht="15.75" customHeight="1">
      <c r="H79" s="3"/>
    </row>
    <row r="80" ht="15.75" customHeight="1">
      <c r="H80" s="3"/>
    </row>
    <row r="81" ht="15.75" customHeight="1">
      <c r="H81" s="3"/>
    </row>
    <row r="82" ht="15.75" customHeight="1">
      <c r="H82" s="3"/>
    </row>
    <row r="83" ht="15.75" customHeight="1">
      <c r="H83" s="3"/>
    </row>
    <row r="84" ht="15.75" customHeight="1">
      <c r="H84" s="3"/>
    </row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1">
      <c r="A1" s="10" t="s">
        <v>180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2026-08-18T09:30:25Z</dcterms:created>
  <dc:creator>openpyxl</dc:creator>
  <dcterms:modified xsi:type="dcterms:W3CDTF">2026-08-18T09:30:25Z</dcterms:modified>
</cp:coreProperties>
</file>